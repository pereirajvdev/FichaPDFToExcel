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EstaPastaDeTrabalho"/>
  <bookViews>
    <workbookView xWindow="-105" yWindow="-105" windowWidth="23250" windowHeight="12570" activeTab="2"/>
  </bookViews>
  <sheets>
    <sheet name="TabelaINSS" sheetId="3" r:id="rId1"/>
    <sheet name="Tabela_PROCX" sheetId="4" r:id="rId2"/>
    <sheet name="Plan1" sheetId="5" r:id="rId3"/>
  </sheet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" i="5"/>
  <c r="G12"/>
  <c r="G19"/>
  <c r="G18"/>
  <c r="D3" a="1"/>
  <c r="D3" s="1"/>
  <c r="D2" s="1"/>
  <c r="G23"/>
  <c r="B23"/>
  <c r="G22"/>
  <c r="G21"/>
  <c r="G20"/>
  <c r="G13"/>
  <c r="Q22"/>
  <c r="Q21"/>
  <c r="Q20"/>
  <c r="Q19"/>
  <c r="Q18"/>
  <c r="Q16"/>
  <c r="Q15"/>
  <c r="Q14"/>
  <c r="Q13"/>
  <c r="Q12"/>
  <c r="Q11"/>
  <c r="G15" l="1"/>
  <c r="G17"/>
  <c r="G14"/>
  <c r="G16"/>
  <c r="F2"/>
  <c r="D7"/>
  <c r="J32" s="1"/>
  <c r="E5"/>
  <c r="C5"/>
  <c r="C7"/>
  <c r="C8" s="1"/>
  <c r="C6"/>
  <c r="D5"/>
  <c r="J30" s="1"/>
  <c r="F7"/>
  <c r="F8" s="1"/>
  <c r="F6"/>
  <c r="E6"/>
  <c r="F5"/>
  <c r="D6"/>
  <c r="J31" s="1"/>
  <c r="E7"/>
  <c r="E8" s="1"/>
  <c r="Q17"/>
  <c r="D8" l="1"/>
  <c r="J33" s="1"/>
  <c r="I31"/>
  <c r="H31"/>
  <c r="I32"/>
  <c r="H32"/>
  <c r="I33"/>
  <c r="H33"/>
  <c r="I30"/>
  <c r="K30" s="1"/>
  <c r="H30"/>
  <c r="F16"/>
  <c r="F15"/>
  <c r="F12"/>
  <c r="F20"/>
  <c r="F19"/>
  <c r="F23"/>
  <c r="F22"/>
  <c r="F17"/>
  <c r="F21"/>
  <c r="F18"/>
  <c r="F13"/>
  <c r="F14"/>
  <c r="K31" l="1"/>
  <c r="K32" s="1"/>
  <c r="K33" s="1"/>
  <c r="H13"/>
  <c r="B13" s="1"/>
  <c r="H12"/>
  <c r="B12" s="1"/>
  <c r="I12" s="1"/>
  <c r="J12" s="1"/>
  <c r="K12" s="1"/>
  <c r="L12" s="1"/>
  <c r="H20"/>
  <c r="H23"/>
  <c r="I23" s="1"/>
  <c r="J23" s="1"/>
  <c r="K23" s="1"/>
  <c r="L23" s="1"/>
  <c r="H21"/>
  <c r="H14"/>
  <c r="B14" s="1"/>
  <c r="H17"/>
  <c r="B17" s="1"/>
  <c r="I17" s="1"/>
  <c r="J17" s="1"/>
  <c r="K17" s="1"/>
  <c r="L17" s="1"/>
  <c r="H18"/>
  <c r="H22"/>
  <c r="H15"/>
  <c r="B15" s="1"/>
  <c r="I15" s="1"/>
  <c r="J15" s="1"/>
  <c r="K15" s="1"/>
  <c r="L15" s="1"/>
  <c r="H19"/>
  <c r="B19" s="1"/>
  <c r="H16"/>
  <c r="B16" s="1"/>
  <c r="I19" l="1"/>
  <c r="J19" s="1"/>
  <c r="K19" s="1"/>
  <c r="L19" s="1"/>
  <c r="B22"/>
  <c r="I22" s="1"/>
  <c r="J22" s="1"/>
  <c r="K22" s="1"/>
  <c r="L22" s="1"/>
  <c r="B21"/>
  <c r="I21" s="1"/>
  <c r="J21" s="1"/>
  <c r="K21" s="1"/>
  <c r="L21" s="1"/>
  <c r="B20"/>
  <c r="I20" s="1"/>
  <c r="J20" s="1"/>
  <c r="K20" s="1"/>
  <c r="L20" s="1"/>
  <c r="B18"/>
  <c r="I18" s="1"/>
  <c r="J18" s="1"/>
  <c r="K18" s="1"/>
  <c r="L18" s="1"/>
  <c r="I16"/>
  <c r="J16" s="1"/>
  <c r="K16" s="1"/>
  <c r="L16" s="1"/>
  <c r="I13"/>
  <c r="J13" s="1"/>
  <c r="K13" s="1"/>
  <c r="L13" s="1"/>
  <c r="I14"/>
  <c r="J14" s="1"/>
  <c r="K14" s="1"/>
  <c r="L14" s="1"/>
</calcChain>
</file>

<file path=xl/sharedStrings.xml><?xml version="1.0" encoding="utf-8"?>
<sst xmlns="http://schemas.openxmlformats.org/spreadsheetml/2006/main" count="348" uniqueCount="114">
  <si>
    <t>Período de 01/01/2026 a 31/12/2026</t>
  </si>
  <si>
    <t>De</t>
  </si>
  <si>
    <t>Até</t>
  </si>
  <si>
    <t>Aliquota</t>
  </si>
  <si>
    <t>Dedução</t>
  </si>
  <si>
    <t>Período de 01/01/2025 a 31/12/2025</t>
  </si>
  <si>
    <t>Período de 01/01/2024 a 31/12/2024</t>
  </si>
  <si>
    <t>Período de 01/05/2023 a 31/12/2023</t>
  </si>
  <si>
    <t>Período de 01/01/2023 a 30/04/2023</t>
  </si>
  <si>
    <t>Período de 01/01/2022 a 31/12/2022</t>
  </si>
  <si>
    <t>Período de 01/01/2021 a 31/12/2021</t>
  </si>
  <si>
    <t>Período de 01/03/2020 a 31/12/2020</t>
  </si>
  <si>
    <t>Período de 01/01/2020 a 29/02/2020</t>
  </si>
  <si>
    <t>Período de 01/01/2019 a 31/12/2019</t>
  </si>
  <si>
    <t>Período de 01/01/2018 a 31/12/2018</t>
  </si>
  <si>
    <t>Período de 01/01/2017 a 31/12/2017</t>
  </si>
  <si>
    <t>Período de 01/01/2016 a 31/12/2016</t>
  </si>
  <si>
    <t>Período de 01/01/2015 a 31/12/2015</t>
  </si>
  <si>
    <t>Período de 01/01/2014 a 31/12/2014</t>
  </si>
  <si>
    <t>Período de 01/01/2013 a 31/12/2013</t>
  </si>
  <si>
    <t>Período de 01/01/2012 a 31/12/2012</t>
  </si>
  <si>
    <t>Período de 15/07/2011 a 31/12/2011</t>
  </si>
  <si>
    <t>Período de 01/01/2011 a 14/07/2011</t>
  </si>
  <si>
    <t>Período de 01/01/2010 a 31/12/2010</t>
  </si>
  <si>
    <t>Período de 01/02/2009 a 31/12/2009</t>
  </si>
  <si>
    <t>Período de 01/03/2008 a 31/01/2009</t>
  </si>
  <si>
    <t>Período de 01/01/2008 a 29/02/2008</t>
  </si>
  <si>
    <t>Período de 01/04/2007 a 31/12/2007</t>
  </si>
  <si>
    <t>Período de 01/08/2006 a 31/03/2007</t>
  </si>
  <si>
    <t>Período de 01/04/2006 a 31/07/2006</t>
  </si>
  <si>
    <t>Período de 01/05/2005 a 31/03/2006</t>
  </si>
  <si>
    <t>Período de 01/05/2004 a 30/04/2005</t>
  </si>
  <si>
    <t>Período de 01/01/2004 a 30/04/2004</t>
  </si>
  <si>
    <t>Período de 01/06/2003 a 31/12/2003</t>
  </si>
  <si>
    <t>Período de 01/06/2002 a 31/05/2003</t>
  </si>
  <si>
    <t>Período de 01/06/2001 a 31/05/2002</t>
  </si>
  <si>
    <t>Período de 01/04/2001 a 31/05/2001</t>
  </si>
  <si>
    <t>Período de 01/03/2001 a 31/03/2001</t>
  </si>
  <si>
    <t>Período de 01/06/2000 a 28/02/2001</t>
  </si>
  <si>
    <t>Período de 01/06/1999 a 31/05/2000</t>
  </si>
  <si>
    <t>Período de 01/01/1999 a 31/05/1999</t>
  </si>
  <si>
    <t>Período de 01/12/1998 a 31/12/1998</t>
  </si>
  <si>
    <t>Período de 01/06/1998 a 30/11/1998</t>
  </si>
  <si>
    <t>Período de 01/06/1997 a 31/05/1998</t>
  </si>
  <si>
    <t>Período de 01/01/1997 a 31/05/1997</t>
  </si>
  <si>
    <t>Período de 01/05/1996 a 31/12/1996</t>
  </si>
  <si>
    <t>Período de 01/08/1995 a 30/04/1996</t>
  </si>
  <si>
    <t>Período de 01/05/1995 a 31/07/1995</t>
  </si>
  <si>
    <t>Período de 01/01/1995 a 30/04/1995</t>
  </si>
  <si>
    <t>Período de 01/03/1994 a 31/12/1994</t>
  </si>
  <si>
    <t>Período de 01/02/1994 a 28/02/1994</t>
  </si>
  <si>
    <t>Período de 01/01/1994 a 31/01/1994</t>
  </si>
  <si>
    <t>Período de 01/12/1993 a 31/12/1993</t>
  </si>
  <si>
    <t>Período de 01/11/1993 a 30/11/1993</t>
  </si>
  <si>
    <t>Período de 01/10/1993 a 31/10/1993</t>
  </si>
  <si>
    <t>Período de 01/09/1993 a 30/09/1993</t>
  </si>
  <si>
    <t>Período de 01/08/1993 a 31/08/1993</t>
  </si>
  <si>
    <t>Período de 01/07/1993 a 31/07/1993</t>
  </si>
  <si>
    <t>Período de 01/05/1993 a 30/06/1993</t>
  </si>
  <si>
    <t>Período de 01/03/1993 a 30/04/1993</t>
  </si>
  <si>
    <t>Período de 01/01/1993 a 28/02/1993</t>
  </si>
  <si>
    <t>Período de 01/09/1992 a 31/12/1992</t>
  </si>
  <si>
    <t>Período de 01/05/1992 a 31/08/1992</t>
  </si>
  <si>
    <t>Período de 01/01/1992 a 30/04/1992</t>
  </si>
  <si>
    <t>Período de 01/09/1991 a 31/12/1991</t>
  </si>
  <si>
    <t>Período de 01/08/1991 a 31/08/1991</t>
  </si>
  <si>
    <t>Período de 01/03/1991 a 31/07/1991</t>
  </si>
  <si>
    <t>Período de 01/02/1991 a 28/02/1991</t>
  </si>
  <si>
    <t>Período de 01/01/1991 a 31/01/1991</t>
  </si>
  <si>
    <t>Período de 01/12/1990 a 31/12/1990</t>
  </si>
  <si>
    <t>Período de 01/11/1990 a 30/11/1990</t>
  </si>
  <si>
    <t>Período de 01/10/1990 a 31/10/1990</t>
  </si>
  <si>
    <t>Período de 01/09/1990 a 30/09/1990</t>
  </si>
  <si>
    <t>Período de 01/07/1990 a 31/08/1990</t>
  </si>
  <si>
    <t>Período de 01/06/1990 a 30/06/1990</t>
  </si>
  <si>
    <t>Período de 01/03/1990 a 31/05/1990</t>
  </si>
  <si>
    <t>Período de 01/02/1990 a 28/02/1990</t>
  </si>
  <si>
    <t>Período de 01/01/1990 a 31/01/1990</t>
  </si>
  <si>
    <t>Data Inicial</t>
  </si>
  <si>
    <t>Data Final</t>
  </si>
  <si>
    <t>ALIQUOTA</t>
  </si>
  <si>
    <t>INSS</t>
  </si>
  <si>
    <t>RECEBIDO</t>
  </si>
  <si>
    <t>DEDUÇÕES</t>
  </si>
  <si>
    <t>DED ALQ</t>
  </si>
  <si>
    <t>SOMA PARCIAL</t>
  </si>
  <si>
    <t>SALARIO CONSIDERADO</t>
  </si>
  <si>
    <t>RCB*ALQ</t>
  </si>
  <si>
    <t>ESPELHO</t>
  </si>
  <si>
    <t>CORRESPONDE?</t>
  </si>
  <si>
    <t>jan</t>
  </si>
  <si>
    <t>fev</t>
  </si>
  <si>
    <t>mar</t>
  </si>
  <si>
    <t>Não entra</t>
  </si>
  <si>
    <t>abr</t>
  </si>
  <si>
    <t>50% férias resc.</t>
  </si>
  <si>
    <t>mai</t>
  </si>
  <si>
    <t>jun</t>
  </si>
  <si>
    <t>jul</t>
  </si>
  <si>
    <t>ago</t>
  </si>
  <si>
    <t>set</t>
  </si>
  <si>
    <t>out</t>
  </si>
  <si>
    <t>nov</t>
  </si>
  <si>
    <t>dez</t>
  </si>
  <si>
    <t>Indice:</t>
  </si>
  <si>
    <t>Observações:</t>
  </si>
  <si>
    <t>a</t>
  </si>
  <si>
    <t>13º</t>
  </si>
  <si>
    <t>Processo inverso</t>
  </si>
  <si>
    <t>Período de</t>
  </si>
  <si>
    <t>MAX</t>
  </si>
  <si>
    <t>INSS/ALQ</t>
  </si>
  <si>
    <t>ALQ</t>
  </si>
  <si>
    <t>Contratos concomitantes</t>
  </si>
</sst>
</file>

<file path=xl/styles.xml><?xml version="1.0" encoding="utf-8"?>
<styleSheet xmlns="http://schemas.openxmlformats.org/spreadsheetml/2006/main">
  <numFmts count="1"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Yu Gothic"/>
      <family val="2"/>
    </font>
    <font>
      <sz val="12"/>
      <color theme="9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8686"/>
        <bgColor indexed="64"/>
      </patternFill>
    </fill>
    <fill>
      <patternFill patternType="solid">
        <fgColor rgb="FFFF7B71"/>
        <bgColor indexed="64"/>
      </patternFill>
    </fill>
    <fill>
      <patternFill patternType="solid">
        <fgColor theme="1" tint="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3">
    <xf numFmtId="0" fontId="0" fillId="0" borderId="0" xfId="0"/>
    <xf numFmtId="10" fontId="0" fillId="0" borderId="0" xfId="0" applyNumberFormat="1"/>
    <xf numFmtId="4" fontId="0" fillId="0" borderId="0" xfId="0" applyNumberFormat="1"/>
    <xf numFmtId="14" fontId="0" fillId="0" borderId="0" xfId="0" applyNumberFormat="1"/>
    <xf numFmtId="0" fontId="0" fillId="2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2" borderId="4" xfId="0" applyFill="1" applyBorder="1"/>
    <xf numFmtId="0" fontId="0" fillId="2" borderId="5" xfId="0" applyFill="1" applyBorder="1"/>
    <xf numFmtId="10" fontId="0" fillId="0" borderId="0" xfId="0" applyNumberFormat="1" applyFill="1" applyBorder="1"/>
    <xf numFmtId="43" fontId="0" fillId="0" borderId="0" xfId="1" applyFont="1" applyFill="1" applyBorder="1"/>
    <xf numFmtId="43" fontId="0" fillId="0" borderId="0" xfId="1" applyFont="1"/>
    <xf numFmtId="0" fontId="0" fillId="2" borderId="6" xfId="0" applyFill="1" applyBorder="1"/>
    <xf numFmtId="4" fontId="0" fillId="2" borderId="7" xfId="0" applyNumberFormat="1" applyFill="1" applyBorder="1"/>
    <xf numFmtId="10" fontId="0" fillId="2" borderId="7" xfId="0" applyNumberFormat="1" applyFill="1" applyBorder="1"/>
    <xf numFmtId="10" fontId="0" fillId="2" borderId="8" xfId="0" applyNumberFormat="1" applyFill="1" applyBorder="1"/>
    <xf numFmtId="0" fontId="0" fillId="0" borderId="0" xfId="0" applyNumberFormat="1"/>
    <xf numFmtId="43" fontId="0" fillId="0" borderId="0" xfId="0" applyNumberForma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Font="1"/>
    <xf numFmtId="10" fontId="0" fillId="0" borderId="2" xfId="0" applyNumberFormat="1" applyBorder="1" applyAlignment="1">
      <alignment horizontal="center"/>
    </xf>
    <xf numFmtId="43" fontId="0" fillId="0" borderId="4" xfId="1" applyFont="1" applyFill="1" applyBorder="1"/>
    <xf numFmtId="43" fontId="0" fillId="0" borderId="4" xfId="1" applyFont="1" applyBorder="1"/>
    <xf numFmtId="43" fontId="0" fillId="0" borderId="2" xfId="1" applyFont="1" applyBorder="1"/>
    <xf numFmtId="43" fontId="0" fillId="0" borderId="0" xfId="1" applyFont="1" applyBorder="1"/>
    <xf numFmtId="43" fontId="1" fillId="0" borderId="0" xfId="1" applyFont="1"/>
    <xf numFmtId="10" fontId="0" fillId="0" borderId="0" xfId="0" applyNumberFormat="1" applyBorder="1" applyAlignment="1">
      <alignment horizontal="center"/>
    </xf>
    <xf numFmtId="10" fontId="0" fillId="0" borderId="0" xfId="1" applyNumberFormat="1" applyFont="1"/>
    <xf numFmtId="10" fontId="0" fillId="0" borderId="7" xfId="0" applyNumberFormat="1" applyBorder="1" applyAlignment="1">
      <alignment horizontal="center"/>
    </xf>
    <xf numFmtId="43" fontId="0" fillId="0" borderId="8" xfId="1" applyFont="1" applyBorder="1"/>
    <xf numFmtId="43" fontId="0" fillId="0" borderId="12" xfId="1" applyFont="1" applyFill="1" applyBorder="1"/>
    <xf numFmtId="43" fontId="0" fillId="0" borderId="6" xfId="1" applyFont="1" applyBorder="1"/>
    <xf numFmtId="43" fontId="0" fillId="0" borderId="7" xfId="1" applyFont="1" applyBorder="1"/>
    <xf numFmtId="1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/>
    <xf numFmtId="0" fontId="2" fillId="2" borderId="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4" fontId="0" fillId="2" borderId="0" xfId="0" applyNumberFormat="1" applyFill="1" applyBorder="1" applyAlignment="1">
      <alignment horizontal="right"/>
    </xf>
    <xf numFmtId="10" fontId="0" fillId="2" borderId="0" xfId="0" applyNumberFormat="1" applyFill="1" applyBorder="1" applyAlignment="1">
      <alignment horizontal="right"/>
    </xf>
    <xf numFmtId="0" fontId="0" fillId="3" borderId="0" xfId="0" applyFill="1"/>
    <xf numFmtId="10" fontId="0" fillId="3" borderId="0" xfId="0" applyNumberFormat="1" applyFill="1" applyBorder="1" applyAlignment="1">
      <alignment horizontal="center"/>
    </xf>
    <xf numFmtId="43" fontId="0" fillId="3" borderId="0" xfId="0" applyNumberFormat="1" applyFill="1"/>
    <xf numFmtId="43" fontId="0" fillId="3" borderId="0" xfId="1" applyFont="1" applyFill="1" applyBorder="1"/>
    <xf numFmtId="0" fontId="0" fillId="3" borderId="0" xfId="0" applyFill="1" applyBorder="1" applyAlignment="1">
      <alignment horizontal="center"/>
    </xf>
    <xf numFmtId="43" fontId="1" fillId="3" borderId="0" xfId="1" applyFont="1" applyFill="1"/>
    <xf numFmtId="43" fontId="0" fillId="3" borderId="2" xfId="0" applyNumberForma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2" fillId="3" borderId="1" xfId="0" applyFont="1" applyFill="1" applyBorder="1"/>
    <xf numFmtId="43" fontId="0" fillId="3" borderId="0" xfId="0" applyNumberFormat="1" applyFill="1" applyBorder="1"/>
    <xf numFmtId="10" fontId="0" fillId="3" borderId="4" xfId="0" applyNumberFormat="1" applyFill="1" applyBorder="1"/>
    <xf numFmtId="0" fontId="0" fillId="4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4" fontId="0" fillId="3" borderId="0" xfId="0" applyNumberFormat="1" applyFill="1" applyBorder="1"/>
    <xf numFmtId="43" fontId="1" fillId="3" borderId="5" xfId="1" applyFont="1" applyFill="1" applyBorder="1" applyAlignment="1">
      <alignment horizontal="center"/>
    </xf>
    <xf numFmtId="0" fontId="4" fillId="2" borderId="0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43" fontId="5" fillId="3" borderId="5" xfId="1" applyFont="1" applyFill="1" applyBorder="1" applyAlignment="1">
      <alignment horizontal="center"/>
    </xf>
    <xf numFmtId="43" fontId="5" fillId="5" borderId="4" xfId="1" applyFont="1" applyFill="1" applyBorder="1"/>
    <xf numFmtId="43" fontId="5" fillId="5" borderId="6" xfId="1" applyFont="1" applyFill="1" applyBorder="1"/>
    <xf numFmtId="43" fontId="5" fillId="5" borderId="13" xfId="1" applyFont="1" applyFill="1" applyBorder="1"/>
    <xf numFmtId="43" fontId="7" fillId="2" borderId="11" xfId="1" applyFont="1" applyFill="1" applyBorder="1"/>
    <xf numFmtId="43" fontId="7" fillId="2" borderId="12" xfId="1" applyFont="1" applyFill="1" applyBorder="1"/>
    <xf numFmtId="43" fontId="2" fillId="0" borderId="0" xfId="1" applyFont="1"/>
    <xf numFmtId="2" fontId="9" fillId="3" borderId="7" xfId="0" applyNumberFormat="1" applyFont="1" applyFill="1" applyBorder="1" applyAlignment="1">
      <alignment vertical="center" wrapText="1"/>
    </xf>
    <xf numFmtId="2" fontId="10" fillId="3" borderId="7" xfId="0" applyNumberFormat="1" applyFont="1" applyFill="1" applyBorder="1" applyAlignment="1">
      <alignment vertical="center"/>
    </xf>
    <xf numFmtId="0" fontId="2" fillId="3" borderId="0" xfId="0" applyFont="1" applyFill="1"/>
    <xf numFmtId="4" fontId="3" fillId="3" borderId="7" xfId="0" applyNumberFormat="1" applyFont="1" applyFill="1" applyBorder="1" applyAlignment="1">
      <alignment horizontal="center" vertical="center"/>
    </xf>
    <xf numFmtId="43" fontId="7" fillId="2" borderId="11" xfId="1" quotePrefix="1" applyFont="1" applyFill="1" applyBorder="1"/>
    <xf numFmtId="17" fontId="8" fillId="6" borderId="13" xfId="0" applyNumberFormat="1" applyFont="1" applyFill="1" applyBorder="1" applyAlignment="1">
      <alignment horizontal="center" vertical="center"/>
    </xf>
  </cellXfs>
  <cellStyles count="2">
    <cellStyle name="Normal" xfId="0" builtinId="0"/>
    <cellStyle name="Separador de milhares" xfId="1" builtinId="3"/>
  </cellStyles>
  <dxfs count="6">
    <dxf>
      <fill>
        <patternFill>
          <bgColor rgb="FF66FF33"/>
        </patternFill>
      </fill>
    </dxf>
    <dxf>
      <font>
        <color rgb="FF33CC33"/>
      </font>
      <fill>
        <patternFill>
          <bgColor rgb="FF00FF00"/>
        </patternFill>
      </fill>
    </dxf>
    <dxf>
      <font>
        <color theme="0"/>
      </font>
      <fill>
        <patternFill>
          <fgColor theme="0" tint="-4.9989318521683403E-2"/>
          <bgColor theme="0" tint="-4.9989318521683403E-2"/>
        </patternFill>
      </fill>
    </dxf>
    <dxf>
      <font>
        <color rgb="FF33CC33"/>
      </font>
      <fill>
        <patternFill>
          <bgColor rgb="FF00FF00"/>
        </patternFill>
      </fill>
    </dxf>
    <dxf>
      <font>
        <color rgb="FFFF8585"/>
      </font>
      <fill>
        <patternFill>
          <bgColor rgb="FFFFC9C9"/>
        </patternFill>
      </fill>
    </dxf>
    <dxf>
      <numFmt numFmtId="164" formatCode="\-"/>
    </dxf>
  </dxfs>
  <tableStyles count="0" defaultTableStyle="TableStyleMedium2" defaultPivotStyle="PivotStyleLight16"/>
  <colors>
    <mruColors>
      <color rgb="FF00FF00"/>
      <color rgb="FF33CC33"/>
      <color rgb="FF66FF66"/>
      <color rgb="FF66FF33"/>
      <color rgb="FFFF7B71"/>
      <color rgb="FFFF0066"/>
      <color rgb="FF98C8AF"/>
      <color rgb="FF61FF96"/>
      <color rgb="FF00DE4A"/>
      <color rgb="FF7D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3"/>
  <dimension ref="A1:E394"/>
  <sheetViews>
    <sheetView topLeftCell="A34" workbookViewId="0">
      <selection activeCell="C41" sqref="C41"/>
    </sheetView>
  </sheetViews>
  <sheetFormatPr defaultRowHeight="15"/>
  <cols>
    <col min="1" max="1" width="15.28515625" customWidth="1"/>
    <col min="2" max="2" width="12.5703125" bestFit="1" customWidth="1"/>
  </cols>
  <sheetData>
    <row r="1" spans="1:5" ht="15" customHeight="1">
      <c r="A1" t="s">
        <v>0</v>
      </c>
    </row>
    <row r="2" spans="1:5">
      <c r="A2" t="s">
        <v>1</v>
      </c>
      <c r="B2" t="s">
        <v>2</v>
      </c>
      <c r="C2" t="s">
        <v>3</v>
      </c>
      <c r="D2" t="s">
        <v>4</v>
      </c>
      <c r="E2" s="1"/>
    </row>
    <row r="3" spans="1:5">
      <c r="A3">
        <v>0</v>
      </c>
      <c r="B3" s="2">
        <v>1621</v>
      </c>
      <c r="C3" s="1">
        <v>7.4999999999999997E-2</v>
      </c>
      <c r="D3">
        <v>0</v>
      </c>
    </row>
    <row r="4" spans="1:5">
      <c r="A4">
        <v>1621.01</v>
      </c>
      <c r="B4" s="2">
        <v>2902.84</v>
      </c>
      <c r="C4" s="1">
        <v>0.09</v>
      </c>
      <c r="D4">
        <v>24.32</v>
      </c>
    </row>
    <row r="5" spans="1:5">
      <c r="A5">
        <v>2902.85</v>
      </c>
      <c r="B5" s="2">
        <v>4354.2700000000004</v>
      </c>
      <c r="C5" s="1">
        <v>0.12</v>
      </c>
      <c r="D5">
        <v>111.4</v>
      </c>
    </row>
    <row r="6" spans="1:5">
      <c r="A6">
        <v>4354.28</v>
      </c>
      <c r="B6" s="2">
        <v>8475.5499999999993</v>
      </c>
      <c r="C6" s="1">
        <v>0.14000000000000001</v>
      </c>
      <c r="D6">
        <v>198.49</v>
      </c>
      <c r="E6" s="1"/>
    </row>
    <row r="7" spans="1:5" ht="15" customHeight="1">
      <c r="A7" t="s">
        <v>5</v>
      </c>
    </row>
    <row r="8" spans="1:5">
      <c r="A8" t="s">
        <v>1</v>
      </c>
      <c r="B8" t="s">
        <v>2</v>
      </c>
      <c r="C8" t="s">
        <v>3</v>
      </c>
      <c r="D8" t="s">
        <v>4</v>
      </c>
    </row>
    <row r="9" spans="1:5">
      <c r="A9">
        <v>0</v>
      </c>
      <c r="B9" s="2">
        <v>1518</v>
      </c>
      <c r="C9" s="1">
        <v>7.4999999999999997E-2</v>
      </c>
      <c r="D9">
        <v>0</v>
      </c>
    </row>
    <row r="10" spans="1:5">
      <c r="A10">
        <v>1518.01</v>
      </c>
      <c r="B10" s="2">
        <v>2793.88</v>
      </c>
      <c r="C10" s="1">
        <v>0.09</v>
      </c>
      <c r="D10">
        <v>22.77</v>
      </c>
      <c r="E10" s="1"/>
    </row>
    <row r="11" spans="1:5">
      <c r="A11">
        <v>2793.89</v>
      </c>
      <c r="B11" s="2">
        <v>4190.83</v>
      </c>
      <c r="C11" s="1">
        <v>0.12</v>
      </c>
      <c r="D11">
        <v>106.59</v>
      </c>
    </row>
    <row r="12" spans="1:5">
      <c r="A12">
        <v>4190.84</v>
      </c>
      <c r="B12" s="2">
        <v>8157.41</v>
      </c>
      <c r="C12" s="1">
        <v>0.14000000000000001</v>
      </c>
      <c r="D12">
        <v>190.4</v>
      </c>
    </row>
    <row r="13" spans="1:5" ht="15" customHeight="1">
      <c r="A13" t="s">
        <v>6</v>
      </c>
    </row>
    <row r="14" spans="1:5">
      <c r="A14" t="s">
        <v>1</v>
      </c>
      <c r="B14" t="s">
        <v>2</v>
      </c>
      <c r="C14" t="s">
        <v>3</v>
      </c>
      <c r="D14" t="s">
        <v>4</v>
      </c>
      <c r="E14" s="1"/>
    </row>
    <row r="15" spans="1:5">
      <c r="A15">
        <v>0</v>
      </c>
      <c r="B15" s="2">
        <v>1412</v>
      </c>
      <c r="C15" s="1">
        <v>7.4999999999999997E-2</v>
      </c>
      <c r="D15">
        <v>0</v>
      </c>
    </row>
    <row r="16" spans="1:5">
      <c r="A16">
        <v>1412.01</v>
      </c>
      <c r="B16" s="2">
        <v>2666.68</v>
      </c>
      <c r="C16" s="1">
        <v>0.09</v>
      </c>
      <c r="D16">
        <v>21.18</v>
      </c>
    </row>
    <row r="17" spans="1:5">
      <c r="A17">
        <v>2666.69</v>
      </c>
      <c r="B17" s="2">
        <v>4000.03</v>
      </c>
      <c r="C17" s="1">
        <v>0.12</v>
      </c>
      <c r="D17">
        <v>101.18</v>
      </c>
    </row>
    <row r="18" spans="1:5">
      <c r="A18">
        <v>4000.04</v>
      </c>
      <c r="B18" s="2">
        <v>7786.02</v>
      </c>
      <c r="C18" s="1">
        <v>0.14000000000000001</v>
      </c>
      <c r="D18">
        <v>181.18</v>
      </c>
      <c r="E18" s="1"/>
    </row>
    <row r="19" spans="1:5" ht="15" customHeight="1">
      <c r="A19" t="s">
        <v>7</v>
      </c>
    </row>
    <row r="20" spans="1:5">
      <c r="A20" t="s">
        <v>1</v>
      </c>
      <c r="B20" t="s">
        <v>2</v>
      </c>
      <c r="C20" t="s">
        <v>3</v>
      </c>
      <c r="D20" t="s">
        <v>4</v>
      </c>
    </row>
    <row r="21" spans="1:5">
      <c r="A21">
        <v>0</v>
      </c>
      <c r="B21" s="2">
        <v>1320</v>
      </c>
      <c r="C21" s="1">
        <v>7.4999999999999997E-2</v>
      </c>
      <c r="D21">
        <v>0</v>
      </c>
    </row>
    <row r="22" spans="1:5">
      <c r="A22">
        <v>1320.01</v>
      </c>
      <c r="B22" s="2">
        <v>2571.29</v>
      </c>
      <c r="C22" s="1">
        <v>0.09</v>
      </c>
      <c r="D22">
        <v>19.8</v>
      </c>
      <c r="E22" s="1"/>
    </row>
    <row r="23" spans="1:5">
      <c r="A23">
        <v>2571.3000000000002</v>
      </c>
      <c r="B23" s="2">
        <v>3856.94</v>
      </c>
      <c r="C23" s="1">
        <v>0.12</v>
      </c>
      <c r="D23">
        <v>96.94</v>
      </c>
    </row>
    <row r="24" spans="1:5">
      <c r="A24">
        <v>3856.95</v>
      </c>
      <c r="B24" s="2">
        <v>7507.49</v>
      </c>
      <c r="C24" s="1">
        <v>0.14000000000000001</v>
      </c>
      <c r="D24">
        <v>174.08</v>
      </c>
    </row>
    <row r="25" spans="1:5" ht="15" customHeight="1">
      <c r="A25" t="s">
        <v>8</v>
      </c>
    </row>
    <row r="26" spans="1:5">
      <c r="A26" t="s">
        <v>1</v>
      </c>
      <c r="B26" t="s">
        <v>2</v>
      </c>
      <c r="C26" t="s">
        <v>3</v>
      </c>
      <c r="D26" t="s">
        <v>4</v>
      </c>
      <c r="E26" s="1"/>
    </row>
    <row r="27" spans="1:5">
      <c r="A27">
        <v>0</v>
      </c>
      <c r="B27" s="2">
        <v>1302</v>
      </c>
      <c r="C27" s="1">
        <v>7.4999999999999997E-2</v>
      </c>
      <c r="D27">
        <v>0</v>
      </c>
    </row>
    <row r="28" spans="1:5">
      <c r="A28">
        <v>1302.01</v>
      </c>
      <c r="B28" s="2">
        <v>2571.29</v>
      </c>
      <c r="C28" s="1">
        <v>0.09</v>
      </c>
      <c r="D28">
        <v>19.53</v>
      </c>
    </row>
    <row r="29" spans="1:5">
      <c r="A29">
        <v>2571.3000000000002</v>
      </c>
      <c r="B29" s="2">
        <v>3856.94</v>
      </c>
      <c r="C29" s="1">
        <v>0.12</v>
      </c>
      <c r="D29">
        <v>96.67</v>
      </c>
    </row>
    <row r="30" spans="1:5">
      <c r="A30">
        <v>3856.95</v>
      </c>
      <c r="B30" s="2">
        <v>7507.49</v>
      </c>
      <c r="C30" s="1">
        <v>0.14000000000000001</v>
      </c>
      <c r="D30">
        <v>173.81</v>
      </c>
      <c r="E30" s="1"/>
    </row>
    <row r="31" spans="1:5" ht="15" customHeight="1">
      <c r="A31" t="s">
        <v>9</v>
      </c>
    </row>
    <row r="32" spans="1:5">
      <c r="A32" t="s">
        <v>1</v>
      </c>
      <c r="B32" t="s">
        <v>2</v>
      </c>
      <c r="C32" t="s">
        <v>3</v>
      </c>
      <c r="D32" t="s">
        <v>4</v>
      </c>
    </row>
    <row r="33" spans="1:4">
      <c r="A33">
        <v>0</v>
      </c>
      <c r="B33" s="2">
        <v>1212</v>
      </c>
      <c r="C33" s="1">
        <v>7.4999999999999997E-2</v>
      </c>
      <c r="D33">
        <v>0</v>
      </c>
    </row>
    <row r="34" spans="1:4">
      <c r="A34">
        <v>1212.01</v>
      </c>
      <c r="B34" s="2">
        <v>2427.35</v>
      </c>
      <c r="C34" s="1">
        <v>0.09</v>
      </c>
      <c r="D34">
        <v>18.18</v>
      </c>
    </row>
    <row r="35" spans="1:4">
      <c r="A35">
        <v>2427.36</v>
      </c>
      <c r="B35" s="2">
        <v>3641.03</v>
      </c>
      <c r="C35" s="1">
        <v>0.12</v>
      </c>
      <c r="D35">
        <v>91</v>
      </c>
    </row>
    <row r="36" spans="1:4">
      <c r="A36">
        <v>3641.04</v>
      </c>
      <c r="B36" s="2">
        <v>7087.22</v>
      </c>
      <c r="C36" s="1">
        <v>0.14000000000000001</v>
      </c>
      <c r="D36">
        <v>163.82</v>
      </c>
    </row>
    <row r="37" spans="1:4" ht="15" customHeight="1">
      <c r="A37" t="s">
        <v>10</v>
      </c>
    </row>
    <row r="38" spans="1:4">
      <c r="A38" t="s">
        <v>1</v>
      </c>
      <c r="B38" t="s">
        <v>2</v>
      </c>
      <c r="C38" t="s">
        <v>3</v>
      </c>
      <c r="D38" t="s">
        <v>4</v>
      </c>
    </row>
    <row r="39" spans="1:4">
      <c r="A39">
        <v>0</v>
      </c>
      <c r="B39" s="2">
        <v>1100</v>
      </c>
      <c r="C39" s="1">
        <v>7.4999999999999997E-2</v>
      </c>
      <c r="D39">
        <v>0</v>
      </c>
    </row>
    <row r="40" spans="1:4">
      <c r="A40">
        <v>1100.01</v>
      </c>
      <c r="B40" s="2">
        <v>2203.48</v>
      </c>
      <c r="C40" s="1">
        <v>0.09</v>
      </c>
      <c r="D40">
        <v>16.5</v>
      </c>
    </row>
    <row r="41" spans="1:4">
      <c r="A41">
        <v>2203.4899999999998</v>
      </c>
      <c r="B41" s="2">
        <v>3305.22</v>
      </c>
      <c r="C41" s="1">
        <v>0.12</v>
      </c>
      <c r="D41">
        <v>82.6</v>
      </c>
    </row>
    <row r="42" spans="1:4">
      <c r="A42">
        <v>3305.23</v>
      </c>
      <c r="B42" s="2">
        <v>6433.57</v>
      </c>
      <c r="C42" s="1">
        <v>0.14000000000000001</v>
      </c>
      <c r="D42">
        <v>148.71</v>
      </c>
    </row>
    <row r="43" spans="1:4" ht="15" customHeight="1">
      <c r="A43" t="s">
        <v>11</v>
      </c>
    </row>
    <row r="44" spans="1:4">
      <c r="A44" t="s">
        <v>1</v>
      </c>
      <c r="B44" t="s">
        <v>2</v>
      </c>
      <c r="C44" t="s">
        <v>3</v>
      </c>
      <c r="D44" t="s">
        <v>4</v>
      </c>
    </row>
    <row r="45" spans="1:4">
      <c r="A45">
        <v>0</v>
      </c>
      <c r="B45" s="2">
        <v>1045</v>
      </c>
      <c r="C45" s="1">
        <v>7.4999999999999997E-2</v>
      </c>
      <c r="D45">
        <v>0</v>
      </c>
    </row>
    <row r="46" spans="1:4">
      <c r="A46">
        <v>1045.01</v>
      </c>
      <c r="B46" s="2">
        <v>2089.6</v>
      </c>
      <c r="C46" s="1">
        <v>0.09</v>
      </c>
      <c r="D46">
        <v>15.67</v>
      </c>
    </row>
    <row r="47" spans="1:4">
      <c r="A47">
        <v>2089.61</v>
      </c>
      <c r="B47" s="2">
        <v>3134.4</v>
      </c>
      <c r="C47" s="1">
        <v>0.12</v>
      </c>
      <c r="D47">
        <v>78.36</v>
      </c>
    </row>
    <row r="48" spans="1:4">
      <c r="A48">
        <v>3134.41</v>
      </c>
      <c r="B48" s="2">
        <v>6101.06</v>
      </c>
      <c r="C48" s="1">
        <v>0.14000000000000001</v>
      </c>
      <c r="D48">
        <v>141.05000000000001</v>
      </c>
    </row>
    <row r="49" spans="1:3" ht="15" customHeight="1">
      <c r="A49" t="s">
        <v>12</v>
      </c>
    </row>
    <row r="50" spans="1:3">
      <c r="A50" t="s">
        <v>1</v>
      </c>
      <c r="B50" t="s">
        <v>2</v>
      </c>
      <c r="C50" t="s">
        <v>3</v>
      </c>
    </row>
    <row r="51" spans="1:3">
      <c r="A51">
        <v>0</v>
      </c>
      <c r="B51" s="2">
        <v>1830.29</v>
      </c>
      <c r="C51" s="1">
        <v>0.08</v>
      </c>
    </row>
    <row r="52" spans="1:3">
      <c r="A52">
        <v>1830.3</v>
      </c>
      <c r="B52" s="2">
        <v>3050.52</v>
      </c>
      <c r="C52" s="1">
        <v>0.09</v>
      </c>
    </row>
    <row r="53" spans="1:3">
      <c r="A53">
        <v>3050.53</v>
      </c>
      <c r="B53" s="2">
        <v>6101.06</v>
      </c>
      <c r="C53" s="1">
        <v>0.11</v>
      </c>
    </row>
    <row r="54" spans="1:3" ht="15" customHeight="1">
      <c r="A54" t="s">
        <v>13</v>
      </c>
    </row>
    <row r="55" spans="1:3">
      <c r="A55" t="s">
        <v>1</v>
      </c>
      <c r="B55" t="s">
        <v>2</v>
      </c>
      <c r="C55" t="s">
        <v>3</v>
      </c>
    </row>
    <row r="56" spans="1:3">
      <c r="A56">
        <v>0</v>
      </c>
      <c r="B56" s="2">
        <v>1751.81</v>
      </c>
      <c r="C56" s="1">
        <v>0.08</v>
      </c>
    </row>
    <row r="57" spans="1:3">
      <c r="A57">
        <v>1751.82</v>
      </c>
      <c r="B57" s="2">
        <v>2919.72</v>
      </c>
      <c r="C57" s="1">
        <v>0.09</v>
      </c>
    </row>
    <row r="58" spans="1:3">
      <c r="A58">
        <v>2919.73</v>
      </c>
      <c r="B58" s="2">
        <v>5839.45</v>
      </c>
      <c r="C58" s="1">
        <v>0.11</v>
      </c>
    </row>
    <row r="59" spans="1:3" ht="15" customHeight="1">
      <c r="A59" t="s">
        <v>14</v>
      </c>
    </row>
    <row r="60" spans="1:3">
      <c r="A60" t="s">
        <v>1</v>
      </c>
      <c r="B60" t="s">
        <v>2</v>
      </c>
      <c r="C60" t="s">
        <v>3</v>
      </c>
    </row>
    <row r="61" spans="1:3">
      <c r="A61">
        <v>0</v>
      </c>
      <c r="B61" s="2">
        <v>1693.72</v>
      </c>
      <c r="C61" s="1">
        <v>0.08</v>
      </c>
    </row>
    <row r="62" spans="1:3">
      <c r="A62">
        <v>1693.73</v>
      </c>
      <c r="B62" s="2">
        <v>2822.9</v>
      </c>
      <c r="C62" s="1">
        <v>0.09</v>
      </c>
    </row>
    <row r="63" spans="1:3">
      <c r="A63">
        <v>2822.91</v>
      </c>
      <c r="B63" s="2">
        <v>5645.8</v>
      </c>
      <c r="C63" s="1">
        <v>0.11</v>
      </c>
    </row>
    <row r="64" spans="1:3" ht="15" customHeight="1">
      <c r="A64" t="s">
        <v>15</v>
      </c>
    </row>
    <row r="65" spans="1:3">
      <c r="A65" t="s">
        <v>1</v>
      </c>
      <c r="B65" t="s">
        <v>2</v>
      </c>
      <c r="C65" t="s">
        <v>3</v>
      </c>
    </row>
    <row r="66" spans="1:3">
      <c r="A66">
        <v>0</v>
      </c>
      <c r="B66" s="2">
        <v>1659.38</v>
      </c>
      <c r="C66" s="1">
        <v>0.08</v>
      </c>
    </row>
    <row r="67" spans="1:3">
      <c r="A67">
        <v>1659.39</v>
      </c>
      <c r="B67" s="2">
        <v>2765.66</v>
      </c>
      <c r="C67" s="1">
        <v>0.09</v>
      </c>
    </row>
    <row r="68" spans="1:3">
      <c r="A68">
        <v>2765.67</v>
      </c>
      <c r="B68" s="2">
        <v>5531.31</v>
      </c>
      <c r="C68" s="1">
        <v>0.11</v>
      </c>
    </row>
    <row r="69" spans="1:3" ht="15" customHeight="1">
      <c r="A69" t="s">
        <v>16</v>
      </c>
    </row>
    <row r="70" spans="1:3">
      <c r="A70" t="s">
        <v>1</v>
      </c>
      <c r="B70" t="s">
        <v>2</v>
      </c>
      <c r="C70" t="s">
        <v>3</v>
      </c>
    </row>
    <row r="71" spans="1:3">
      <c r="A71">
        <v>0</v>
      </c>
      <c r="B71" s="2">
        <v>1556.94</v>
      </c>
      <c r="C71" s="1">
        <v>0.08</v>
      </c>
    </row>
    <row r="72" spans="1:3">
      <c r="A72">
        <v>1556.95</v>
      </c>
      <c r="B72" s="2">
        <v>2594.92</v>
      </c>
      <c r="C72" s="1">
        <v>0.09</v>
      </c>
    </row>
    <row r="73" spans="1:3">
      <c r="A73">
        <v>2594.9299999999998</v>
      </c>
      <c r="B73" s="2">
        <v>5189.82</v>
      </c>
      <c r="C73" s="1">
        <v>0.11</v>
      </c>
    </row>
    <row r="74" spans="1:3" ht="15" customHeight="1">
      <c r="A74" t="s">
        <v>17</v>
      </c>
    </row>
    <row r="75" spans="1:3">
      <c r="A75" t="s">
        <v>1</v>
      </c>
      <c r="B75" t="s">
        <v>2</v>
      </c>
      <c r="C75" t="s">
        <v>3</v>
      </c>
    </row>
    <row r="76" spans="1:3">
      <c r="A76">
        <v>0</v>
      </c>
      <c r="B76" s="2">
        <v>1399.12</v>
      </c>
      <c r="C76" s="1">
        <v>0.08</v>
      </c>
    </row>
    <row r="77" spans="1:3">
      <c r="A77">
        <v>1399.13</v>
      </c>
      <c r="B77" s="2">
        <v>2331.88</v>
      </c>
      <c r="C77" s="1">
        <v>0.09</v>
      </c>
    </row>
    <row r="78" spans="1:3">
      <c r="A78">
        <v>2331.89</v>
      </c>
      <c r="B78" s="2">
        <v>4663.75</v>
      </c>
      <c r="C78" s="1">
        <v>0.11</v>
      </c>
    </row>
    <row r="79" spans="1:3" ht="15" customHeight="1">
      <c r="A79" t="s">
        <v>18</v>
      </c>
    </row>
    <row r="80" spans="1:3">
      <c r="A80" t="s">
        <v>1</v>
      </c>
      <c r="B80" t="s">
        <v>2</v>
      </c>
      <c r="C80" t="s">
        <v>3</v>
      </c>
    </row>
    <row r="81" spans="1:5">
      <c r="A81">
        <v>0</v>
      </c>
      <c r="B81" s="2">
        <v>1317.07</v>
      </c>
      <c r="C81" s="1">
        <v>0.08</v>
      </c>
    </row>
    <row r="82" spans="1:5">
      <c r="A82">
        <v>1317.08</v>
      </c>
      <c r="B82" s="2">
        <v>2195.12</v>
      </c>
      <c r="C82" s="1">
        <v>0.09</v>
      </c>
      <c r="E82" s="1"/>
    </row>
    <row r="83" spans="1:5">
      <c r="A83">
        <v>2195.13</v>
      </c>
      <c r="B83" s="2">
        <v>4390.24</v>
      </c>
      <c r="C83" s="1">
        <v>0.11</v>
      </c>
      <c r="E83" s="1"/>
    </row>
    <row r="84" spans="1:5" ht="15" customHeight="1">
      <c r="A84" t="s">
        <v>19</v>
      </c>
    </row>
    <row r="85" spans="1:5">
      <c r="A85" t="s">
        <v>1</v>
      </c>
      <c r="B85" t="s">
        <v>2</v>
      </c>
      <c r="C85" t="s">
        <v>3</v>
      </c>
    </row>
    <row r="86" spans="1:5">
      <c r="A86">
        <v>0</v>
      </c>
      <c r="B86" s="2">
        <v>1247.7</v>
      </c>
      <c r="C86" s="1">
        <v>0.08</v>
      </c>
      <c r="E86" s="1"/>
    </row>
    <row r="87" spans="1:5">
      <c r="A87">
        <v>1247.71</v>
      </c>
      <c r="B87" s="2">
        <v>2079.5</v>
      </c>
      <c r="C87" s="1">
        <v>0.09</v>
      </c>
      <c r="E87" s="1"/>
    </row>
    <row r="88" spans="1:5">
      <c r="A88">
        <v>2079.5100000000002</v>
      </c>
      <c r="B88" s="2">
        <v>4159</v>
      </c>
      <c r="C88" s="1">
        <v>0.11</v>
      </c>
    </row>
    <row r="89" spans="1:5" ht="15" customHeight="1">
      <c r="A89" t="s">
        <v>20</v>
      </c>
    </row>
    <row r="90" spans="1:5">
      <c r="A90" t="s">
        <v>1</v>
      </c>
      <c r="B90" t="s">
        <v>2</v>
      </c>
      <c r="C90" t="s">
        <v>3</v>
      </c>
      <c r="E90" s="1"/>
    </row>
    <row r="91" spans="1:5">
      <c r="A91">
        <v>0</v>
      </c>
      <c r="B91" s="2">
        <v>1174.8599999999999</v>
      </c>
      <c r="C91" s="1">
        <v>0.08</v>
      </c>
      <c r="E91" s="1"/>
    </row>
    <row r="92" spans="1:5">
      <c r="A92">
        <v>1174.8699999999999</v>
      </c>
      <c r="B92" s="2">
        <v>1958.1</v>
      </c>
      <c r="C92" s="1">
        <v>0.09</v>
      </c>
    </row>
    <row r="93" spans="1:5">
      <c r="A93">
        <v>1958.11</v>
      </c>
      <c r="B93" s="2">
        <v>3916.2</v>
      </c>
      <c r="C93" s="1">
        <v>0.11</v>
      </c>
    </row>
    <row r="94" spans="1:5" ht="15" customHeight="1">
      <c r="A94" t="s">
        <v>21</v>
      </c>
      <c r="E94" s="1"/>
    </row>
    <row r="95" spans="1:5">
      <c r="A95" t="s">
        <v>1</v>
      </c>
      <c r="B95" t="s">
        <v>2</v>
      </c>
      <c r="C95" t="s">
        <v>3</v>
      </c>
      <c r="E95" s="1"/>
    </row>
    <row r="96" spans="1:5">
      <c r="A96">
        <v>0</v>
      </c>
      <c r="B96" s="2">
        <v>1107.52</v>
      </c>
      <c r="C96" s="1">
        <v>0.08</v>
      </c>
    </row>
    <row r="97" spans="1:5">
      <c r="A97">
        <v>1107.53</v>
      </c>
      <c r="B97" s="2">
        <v>1845.87</v>
      </c>
      <c r="C97" s="1">
        <v>0.09</v>
      </c>
    </row>
    <row r="98" spans="1:5">
      <c r="A98">
        <v>1845.88</v>
      </c>
      <c r="B98" s="2">
        <v>3691.74</v>
      </c>
      <c r="C98" s="1">
        <v>0.11</v>
      </c>
      <c r="E98" s="1"/>
    </row>
    <row r="99" spans="1:5" ht="15" customHeight="1">
      <c r="A99" t="s">
        <v>22</v>
      </c>
      <c r="E99" s="1"/>
    </row>
    <row r="100" spans="1:5">
      <c r="A100" t="s">
        <v>1</v>
      </c>
      <c r="B100" t="s">
        <v>2</v>
      </c>
      <c r="C100" t="s">
        <v>3</v>
      </c>
    </row>
    <row r="101" spans="1:5">
      <c r="A101">
        <v>0</v>
      </c>
      <c r="B101" s="2">
        <v>1106.9000000000001</v>
      </c>
      <c r="C101" s="1">
        <v>0.08</v>
      </c>
    </row>
    <row r="102" spans="1:5">
      <c r="A102">
        <v>1106.9100000000001</v>
      </c>
      <c r="B102" s="2">
        <v>1844.83</v>
      </c>
      <c r="C102" s="1">
        <v>0.09</v>
      </c>
      <c r="E102" s="1"/>
    </row>
    <row r="103" spans="1:5">
      <c r="A103">
        <v>1844.84</v>
      </c>
      <c r="B103" s="2">
        <v>3689.66</v>
      </c>
      <c r="C103" s="1">
        <v>0.11</v>
      </c>
    </row>
    <row r="104" spans="1:5" ht="15" customHeight="1">
      <c r="A104" t="s">
        <v>23</v>
      </c>
    </row>
    <row r="105" spans="1:5">
      <c r="A105" t="s">
        <v>1</v>
      </c>
      <c r="B105" t="s">
        <v>2</v>
      </c>
      <c r="C105" t="s">
        <v>3</v>
      </c>
      <c r="E105" s="1"/>
    </row>
    <row r="106" spans="1:5">
      <c r="A106">
        <v>0</v>
      </c>
      <c r="B106" s="2">
        <v>1040.22</v>
      </c>
      <c r="C106" s="1">
        <v>0.08</v>
      </c>
      <c r="E106" s="1"/>
    </row>
    <row r="107" spans="1:5">
      <c r="A107">
        <v>1040.23</v>
      </c>
      <c r="B107" s="2">
        <v>1733.7</v>
      </c>
      <c r="C107" s="1">
        <v>0.09</v>
      </c>
    </row>
    <row r="108" spans="1:5">
      <c r="A108">
        <v>1733.71</v>
      </c>
      <c r="B108" s="2">
        <v>3467.4</v>
      </c>
      <c r="C108" s="1">
        <v>0.11</v>
      </c>
    </row>
    <row r="109" spans="1:5" ht="15" customHeight="1">
      <c r="A109" t="s">
        <v>24</v>
      </c>
      <c r="E109" s="1"/>
    </row>
    <row r="110" spans="1:5">
      <c r="A110" t="s">
        <v>1</v>
      </c>
      <c r="B110" t="s">
        <v>2</v>
      </c>
      <c r="C110" t="s">
        <v>3</v>
      </c>
      <c r="E110" s="1"/>
    </row>
    <row r="111" spans="1:5">
      <c r="A111">
        <v>0</v>
      </c>
      <c r="B111">
        <v>965.67</v>
      </c>
      <c r="C111" s="1">
        <v>0.08</v>
      </c>
    </row>
    <row r="112" spans="1:5">
      <c r="A112">
        <v>965.68</v>
      </c>
      <c r="B112" s="2">
        <v>1609.45</v>
      </c>
      <c r="C112" s="1">
        <v>0.09</v>
      </c>
    </row>
    <row r="113" spans="1:5">
      <c r="A113">
        <v>1609.46</v>
      </c>
      <c r="B113" s="2">
        <v>3218.9</v>
      </c>
      <c r="C113" s="1">
        <v>0.11</v>
      </c>
      <c r="E113" s="1"/>
    </row>
    <row r="114" spans="1:5" ht="15" customHeight="1">
      <c r="A114" t="s">
        <v>25</v>
      </c>
      <c r="E114" s="1"/>
    </row>
    <row r="115" spans="1:5">
      <c r="A115" t="s">
        <v>1</v>
      </c>
      <c r="B115" t="s">
        <v>2</v>
      </c>
      <c r="C115" t="s">
        <v>3</v>
      </c>
    </row>
    <row r="116" spans="1:5">
      <c r="A116">
        <v>0</v>
      </c>
      <c r="B116">
        <v>911.7</v>
      </c>
      <c r="C116" s="1">
        <v>0.08</v>
      </c>
    </row>
    <row r="117" spans="1:5">
      <c r="A117">
        <v>911.71</v>
      </c>
      <c r="B117" s="2">
        <v>1519.5</v>
      </c>
      <c r="C117" s="1">
        <v>0.09</v>
      </c>
      <c r="E117" s="1"/>
    </row>
    <row r="118" spans="1:5">
      <c r="A118">
        <v>1519.51</v>
      </c>
      <c r="B118" s="2">
        <v>3038.99</v>
      </c>
      <c r="C118" s="1">
        <v>0.11</v>
      </c>
      <c r="E118" s="1"/>
    </row>
    <row r="119" spans="1:5" ht="15" customHeight="1">
      <c r="A119" t="s">
        <v>26</v>
      </c>
    </row>
    <row r="120" spans="1:5">
      <c r="A120" t="s">
        <v>1</v>
      </c>
      <c r="B120" t="s">
        <v>2</v>
      </c>
      <c r="C120" t="s">
        <v>3</v>
      </c>
    </row>
    <row r="121" spans="1:5">
      <c r="A121">
        <v>0</v>
      </c>
      <c r="B121">
        <v>868.29</v>
      </c>
      <c r="C121" s="1">
        <v>0.08</v>
      </c>
      <c r="E121" s="1"/>
    </row>
    <row r="122" spans="1:5">
      <c r="A122">
        <v>868.3</v>
      </c>
      <c r="B122" s="2">
        <v>1447.14</v>
      </c>
      <c r="C122" s="1">
        <v>0.09</v>
      </c>
      <c r="E122" s="1"/>
    </row>
    <row r="123" spans="1:5">
      <c r="A123">
        <v>1447.15</v>
      </c>
      <c r="B123" s="2">
        <v>2894.28</v>
      </c>
      <c r="C123" s="1">
        <v>0.11</v>
      </c>
    </row>
    <row r="124" spans="1:5" ht="15" customHeight="1">
      <c r="A124" t="s">
        <v>27</v>
      </c>
    </row>
    <row r="125" spans="1:5">
      <c r="A125" t="s">
        <v>1</v>
      </c>
      <c r="B125" t="s">
        <v>2</v>
      </c>
      <c r="C125" t="s">
        <v>3</v>
      </c>
      <c r="E125" s="1"/>
    </row>
    <row r="126" spans="1:5">
      <c r="A126">
        <v>0</v>
      </c>
      <c r="B126">
        <v>868.29</v>
      </c>
      <c r="C126" s="1">
        <v>7.6499999999999999E-2</v>
      </c>
      <c r="E126" s="1"/>
    </row>
    <row r="127" spans="1:5">
      <c r="A127">
        <v>868.3</v>
      </c>
      <c r="B127" s="2">
        <v>1140</v>
      </c>
      <c r="C127" s="1">
        <v>8.6499999999999994E-2</v>
      </c>
    </row>
    <row r="128" spans="1:5">
      <c r="A128">
        <v>1140.01</v>
      </c>
      <c r="B128" s="2">
        <v>1447.14</v>
      </c>
      <c r="C128" s="1">
        <v>0.09</v>
      </c>
    </row>
    <row r="129" spans="1:5">
      <c r="A129">
        <v>1447.15</v>
      </c>
      <c r="B129" s="2">
        <v>2894.28</v>
      </c>
      <c r="C129" s="1">
        <v>0.11</v>
      </c>
      <c r="E129" s="1"/>
    </row>
    <row r="130" spans="1:5" ht="15" customHeight="1">
      <c r="A130" t="s">
        <v>28</v>
      </c>
      <c r="E130" s="1"/>
    </row>
    <row r="131" spans="1:5">
      <c r="A131" t="s">
        <v>1</v>
      </c>
      <c r="B131" t="s">
        <v>2</v>
      </c>
      <c r="C131" t="s">
        <v>3</v>
      </c>
    </row>
    <row r="132" spans="1:5">
      <c r="A132">
        <v>0</v>
      </c>
      <c r="B132">
        <v>840.55</v>
      </c>
      <c r="C132" s="1">
        <v>7.6499999999999999E-2</v>
      </c>
    </row>
    <row r="133" spans="1:5">
      <c r="A133">
        <v>840.56</v>
      </c>
      <c r="B133" s="2">
        <v>1050</v>
      </c>
      <c r="C133" s="1">
        <v>8.6499999999999994E-2</v>
      </c>
      <c r="E133" s="1"/>
    </row>
    <row r="134" spans="1:5">
      <c r="A134">
        <v>1050.01</v>
      </c>
      <c r="B134" s="2">
        <v>1400.91</v>
      </c>
      <c r="C134" s="1">
        <v>0.09</v>
      </c>
      <c r="E134" s="1"/>
    </row>
    <row r="135" spans="1:5">
      <c r="A135">
        <v>1400.92</v>
      </c>
      <c r="B135" s="2">
        <v>2801.82</v>
      </c>
      <c r="C135" s="1">
        <v>0.11</v>
      </c>
    </row>
    <row r="136" spans="1:5" ht="15" customHeight="1">
      <c r="A136" t="s">
        <v>29</v>
      </c>
    </row>
    <row r="137" spans="1:5">
      <c r="A137" t="s">
        <v>1</v>
      </c>
      <c r="B137" t="s">
        <v>2</v>
      </c>
      <c r="C137" t="s">
        <v>3</v>
      </c>
      <c r="E137" s="1"/>
    </row>
    <row r="138" spans="1:5">
      <c r="A138">
        <v>0</v>
      </c>
      <c r="B138">
        <v>840.47</v>
      </c>
      <c r="C138" s="1">
        <v>7.6499999999999999E-2</v>
      </c>
      <c r="E138" s="1"/>
    </row>
    <row r="139" spans="1:5">
      <c r="A139">
        <v>840.47</v>
      </c>
      <c r="B139" s="2">
        <v>1050</v>
      </c>
      <c r="C139" s="1">
        <v>8.6499999999999994E-2</v>
      </c>
    </row>
    <row r="140" spans="1:5">
      <c r="A140">
        <v>1050.01</v>
      </c>
      <c r="B140" s="2">
        <v>1400.77</v>
      </c>
      <c r="C140" s="1">
        <v>0.09</v>
      </c>
    </row>
    <row r="141" spans="1:5">
      <c r="A141">
        <v>1400.78</v>
      </c>
      <c r="B141" s="2">
        <v>2801.56</v>
      </c>
      <c r="C141" s="1">
        <v>0.11</v>
      </c>
      <c r="E141" s="1"/>
    </row>
    <row r="142" spans="1:5" ht="15" customHeight="1">
      <c r="A142" t="s">
        <v>30</v>
      </c>
      <c r="E142" s="1"/>
    </row>
    <row r="143" spans="1:5">
      <c r="A143" t="s">
        <v>1</v>
      </c>
      <c r="B143" t="s">
        <v>2</v>
      </c>
      <c r="C143" t="s">
        <v>3</v>
      </c>
    </row>
    <row r="144" spans="1:5">
      <c r="A144">
        <v>0</v>
      </c>
      <c r="B144">
        <v>800.45</v>
      </c>
      <c r="C144" s="1">
        <v>7.6499999999999999E-2</v>
      </c>
    </row>
    <row r="145" spans="1:5">
      <c r="A145">
        <v>800.46</v>
      </c>
      <c r="B145">
        <v>900</v>
      </c>
      <c r="C145" s="1">
        <v>8.6499999999999994E-2</v>
      </c>
      <c r="E145" s="1"/>
    </row>
    <row r="146" spans="1:5">
      <c r="A146">
        <v>900.01</v>
      </c>
      <c r="B146" s="2">
        <v>1334.07</v>
      </c>
      <c r="C146" s="1">
        <v>0.09</v>
      </c>
      <c r="E146" s="1"/>
    </row>
    <row r="147" spans="1:5">
      <c r="A147">
        <v>1334.08</v>
      </c>
      <c r="B147" s="2">
        <v>2668.15</v>
      </c>
      <c r="C147" s="1">
        <v>0.11</v>
      </c>
    </row>
    <row r="148" spans="1:5" ht="15" customHeight="1">
      <c r="A148" t="s">
        <v>31</v>
      </c>
    </row>
    <row r="149" spans="1:5">
      <c r="A149" t="s">
        <v>1</v>
      </c>
      <c r="B149" t="s">
        <v>2</v>
      </c>
      <c r="C149" t="s">
        <v>3</v>
      </c>
      <c r="E149" s="1"/>
    </row>
    <row r="150" spans="1:5">
      <c r="A150">
        <v>0</v>
      </c>
      <c r="B150">
        <v>752.62</v>
      </c>
      <c r="C150" s="1">
        <v>7.6499999999999999E-2</v>
      </c>
      <c r="E150" s="1"/>
    </row>
    <row r="151" spans="1:5">
      <c r="A151">
        <v>752.63</v>
      </c>
      <c r="B151">
        <v>780</v>
      </c>
      <c r="C151" s="1">
        <v>8.6499999999999994E-2</v>
      </c>
    </row>
    <row r="152" spans="1:5">
      <c r="A152">
        <v>780.01</v>
      </c>
      <c r="B152" s="2">
        <v>1254.3599999999999</v>
      </c>
      <c r="C152" s="1">
        <v>0.09</v>
      </c>
    </row>
    <row r="153" spans="1:5">
      <c r="A153">
        <v>1254.3699999999999</v>
      </c>
      <c r="B153" s="2">
        <v>2508.7199999999998</v>
      </c>
      <c r="C153" s="1">
        <v>0.11</v>
      </c>
      <c r="E153" s="1"/>
    </row>
    <row r="154" spans="1:5" ht="15" customHeight="1">
      <c r="A154" t="s">
        <v>32</v>
      </c>
      <c r="E154" s="1"/>
    </row>
    <row r="155" spans="1:5">
      <c r="A155" t="s">
        <v>1</v>
      </c>
      <c r="B155" t="s">
        <v>2</v>
      </c>
      <c r="C155" t="s">
        <v>3</v>
      </c>
    </row>
    <row r="156" spans="1:5">
      <c r="A156">
        <v>0</v>
      </c>
      <c r="B156">
        <v>720</v>
      </c>
      <c r="C156" s="1">
        <v>7.6499999999999999E-2</v>
      </c>
    </row>
    <row r="157" spans="1:5">
      <c r="A157">
        <v>720.01</v>
      </c>
      <c r="B157" s="2">
        <v>1200</v>
      </c>
      <c r="C157" s="1">
        <v>0.09</v>
      </c>
    </row>
    <row r="158" spans="1:5">
      <c r="A158">
        <v>1200.01</v>
      </c>
      <c r="B158" s="2">
        <v>2400</v>
      </c>
      <c r="C158" s="1">
        <v>0.11</v>
      </c>
    </row>
    <row r="159" spans="1:5" ht="15" customHeight="1">
      <c r="A159" t="s">
        <v>33</v>
      </c>
    </row>
    <row r="160" spans="1:5">
      <c r="A160" t="s">
        <v>1</v>
      </c>
      <c r="B160" t="s">
        <v>2</v>
      </c>
      <c r="C160" t="s">
        <v>3</v>
      </c>
      <c r="E160" s="1"/>
    </row>
    <row r="161" spans="1:5">
      <c r="A161">
        <v>0</v>
      </c>
      <c r="B161">
        <v>560.80999999999995</v>
      </c>
      <c r="C161" s="1">
        <v>7.6499999999999999E-2</v>
      </c>
      <c r="E161" s="1"/>
    </row>
    <row r="162" spans="1:5">
      <c r="A162">
        <v>560.82000000000005</v>
      </c>
      <c r="B162">
        <v>720</v>
      </c>
      <c r="C162" s="1">
        <v>8.6499999999999994E-2</v>
      </c>
    </row>
    <row r="163" spans="1:5">
      <c r="A163">
        <v>720.01</v>
      </c>
      <c r="B163">
        <v>934.67</v>
      </c>
      <c r="C163" s="1">
        <v>0.09</v>
      </c>
    </row>
    <row r="164" spans="1:5">
      <c r="A164">
        <v>934.68</v>
      </c>
      <c r="B164" s="2">
        <v>1869.34</v>
      </c>
      <c r="C164" s="1">
        <v>0.11</v>
      </c>
      <c r="E164" s="1"/>
    </row>
    <row r="165" spans="1:5" ht="15" customHeight="1">
      <c r="A165" t="s">
        <v>34</v>
      </c>
      <c r="E165" s="1"/>
    </row>
    <row r="166" spans="1:5">
      <c r="A166" t="s">
        <v>1</v>
      </c>
      <c r="B166" t="s">
        <v>2</v>
      </c>
      <c r="C166" t="s">
        <v>3</v>
      </c>
    </row>
    <row r="167" spans="1:5">
      <c r="A167">
        <v>0</v>
      </c>
      <c r="B167">
        <v>468.47</v>
      </c>
      <c r="C167" s="1">
        <v>7.6499999999999999E-2</v>
      </c>
    </row>
    <row r="168" spans="1:5">
      <c r="A168">
        <v>468.48</v>
      </c>
      <c r="B168">
        <v>600</v>
      </c>
      <c r="C168" s="1">
        <v>8.6499999999999994E-2</v>
      </c>
      <c r="E168" s="1"/>
    </row>
    <row r="169" spans="1:5">
      <c r="A169">
        <v>600.01</v>
      </c>
      <c r="B169">
        <v>780.78</v>
      </c>
      <c r="C169" s="1">
        <v>0.09</v>
      </c>
      <c r="E169" s="1"/>
    </row>
    <row r="170" spans="1:5">
      <c r="A170">
        <v>780.79</v>
      </c>
      <c r="B170" s="2">
        <v>1561.56</v>
      </c>
      <c r="C170" s="1">
        <v>0.11</v>
      </c>
    </row>
    <row r="171" spans="1:5" ht="15" customHeight="1">
      <c r="A171" t="s">
        <v>35</v>
      </c>
    </row>
    <row r="172" spans="1:5">
      <c r="A172" t="s">
        <v>1</v>
      </c>
      <c r="B172" t="s">
        <v>2</v>
      </c>
      <c r="C172" t="s">
        <v>3</v>
      </c>
      <c r="E172" s="1"/>
    </row>
    <row r="173" spans="1:5">
      <c r="A173">
        <v>0</v>
      </c>
      <c r="B173">
        <v>429</v>
      </c>
      <c r="C173" s="1">
        <v>7.6499999999999999E-2</v>
      </c>
      <c r="E173" s="1"/>
    </row>
    <row r="174" spans="1:5">
      <c r="A174">
        <v>429.01</v>
      </c>
      <c r="B174">
        <v>540</v>
      </c>
      <c r="C174" s="1">
        <v>8.6499999999999994E-2</v>
      </c>
    </row>
    <row r="175" spans="1:5">
      <c r="A175">
        <v>540.01</v>
      </c>
      <c r="B175">
        <v>715</v>
      </c>
      <c r="C175" s="1">
        <v>0.09</v>
      </c>
    </row>
    <row r="176" spans="1:5">
      <c r="A176">
        <v>715.01</v>
      </c>
      <c r="B176" s="2">
        <v>1430</v>
      </c>
      <c r="C176" s="1">
        <v>0.11</v>
      </c>
      <c r="E176" s="1"/>
    </row>
    <row r="177" spans="1:5" ht="15" customHeight="1">
      <c r="A177" t="s">
        <v>36</v>
      </c>
      <c r="E177" s="1"/>
    </row>
    <row r="178" spans="1:5">
      <c r="A178" t="s">
        <v>1</v>
      </c>
      <c r="B178" t="s">
        <v>2</v>
      </c>
      <c r="C178" t="s">
        <v>3</v>
      </c>
    </row>
    <row r="179" spans="1:5">
      <c r="A179">
        <v>0</v>
      </c>
      <c r="B179">
        <v>398.48</v>
      </c>
      <c r="C179" s="1">
        <v>7.6499999999999999E-2</v>
      </c>
    </row>
    <row r="180" spans="1:5">
      <c r="A180">
        <v>398.49</v>
      </c>
      <c r="B180">
        <v>540</v>
      </c>
      <c r="C180" s="1">
        <v>8.6499999999999994E-2</v>
      </c>
      <c r="E180" s="1"/>
    </row>
    <row r="181" spans="1:5">
      <c r="A181">
        <v>540.01</v>
      </c>
      <c r="B181">
        <v>664.13</v>
      </c>
      <c r="C181" s="1">
        <v>0.09</v>
      </c>
      <c r="E181" s="1"/>
    </row>
    <row r="182" spans="1:5">
      <c r="A182">
        <v>664.14</v>
      </c>
      <c r="B182" s="2">
        <v>1328.25</v>
      </c>
      <c r="C182" s="1">
        <v>0.11</v>
      </c>
    </row>
    <row r="183" spans="1:5" ht="15" customHeight="1">
      <c r="A183" t="s">
        <v>37</v>
      </c>
    </row>
    <row r="184" spans="1:5">
      <c r="A184" t="s">
        <v>1</v>
      </c>
      <c r="B184" t="s">
        <v>2</v>
      </c>
      <c r="C184" t="s">
        <v>3</v>
      </c>
    </row>
    <row r="185" spans="1:5">
      <c r="A185">
        <v>0</v>
      </c>
      <c r="B185">
        <v>398.48</v>
      </c>
      <c r="C185" s="1">
        <v>7.6499999999999999E-2</v>
      </c>
    </row>
    <row r="186" spans="1:5">
      <c r="A186">
        <v>398.49</v>
      </c>
      <c r="B186">
        <v>453</v>
      </c>
      <c r="C186" s="1">
        <v>8.6499999999999994E-2</v>
      </c>
    </row>
    <row r="187" spans="1:5">
      <c r="A187">
        <v>453.01</v>
      </c>
      <c r="B187">
        <v>664.13</v>
      </c>
      <c r="C187" s="1">
        <v>0.09</v>
      </c>
    </row>
    <row r="188" spans="1:5">
      <c r="A188">
        <v>664.14</v>
      </c>
      <c r="B188" s="2">
        <v>1328.25</v>
      </c>
      <c r="C188" s="1">
        <v>0.11</v>
      </c>
    </row>
    <row r="189" spans="1:5" ht="15" customHeight="1">
      <c r="A189" t="s">
        <v>38</v>
      </c>
    </row>
    <row r="190" spans="1:5">
      <c r="A190" t="s">
        <v>1</v>
      </c>
      <c r="B190" t="s">
        <v>2</v>
      </c>
      <c r="C190" t="s">
        <v>3</v>
      </c>
    </row>
    <row r="191" spans="1:5">
      <c r="A191">
        <v>0</v>
      </c>
      <c r="B191">
        <v>398.48</v>
      </c>
      <c r="C191" s="1">
        <v>7.7200000000000005E-2</v>
      </c>
    </row>
    <row r="192" spans="1:5">
      <c r="A192">
        <v>398.49</v>
      </c>
      <c r="B192">
        <v>453</v>
      </c>
      <c r="C192" s="1">
        <v>8.7300000000000003E-2</v>
      </c>
    </row>
    <row r="193" spans="1:3">
      <c r="A193">
        <v>453.01</v>
      </c>
      <c r="B193">
        <v>664.13</v>
      </c>
      <c r="C193" s="1">
        <v>0.09</v>
      </c>
    </row>
    <row r="194" spans="1:3">
      <c r="A194">
        <v>664.14</v>
      </c>
      <c r="B194" s="2">
        <v>1328.25</v>
      </c>
      <c r="C194" s="1">
        <v>0.11</v>
      </c>
    </row>
    <row r="195" spans="1:3" ht="15" customHeight="1">
      <c r="A195" t="s">
        <v>39</v>
      </c>
    </row>
    <row r="196" spans="1:3">
      <c r="A196" t="s">
        <v>1</v>
      </c>
      <c r="B196" t="s">
        <v>2</v>
      </c>
      <c r="C196" t="s">
        <v>3</v>
      </c>
    </row>
    <row r="197" spans="1:3">
      <c r="A197">
        <v>0</v>
      </c>
      <c r="B197">
        <v>376.6</v>
      </c>
      <c r="C197" s="1">
        <v>7.6499999999999999E-2</v>
      </c>
    </row>
    <row r="198" spans="1:3">
      <c r="A198">
        <v>376.61</v>
      </c>
      <c r="B198">
        <v>408</v>
      </c>
      <c r="C198" s="1">
        <v>8.6499999999999994E-2</v>
      </c>
    </row>
    <row r="199" spans="1:3">
      <c r="A199">
        <v>408.01</v>
      </c>
      <c r="B199">
        <v>627.66</v>
      </c>
      <c r="C199" s="1">
        <v>0.09</v>
      </c>
    </row>
    <row r="200" spans="1:3">
      <c r="A200">
        <v>627.66999999999996</v>
      </c>
      <c r="B200" s="2">
        <v>1255.32</v>
      </c>
      <c r="C200" s="1">
        <v>0.11</v>
      </c>
    </row>
    <row r="201" spans="1:3">
      <c r="A201" t="s">
        <v>40</v>
      </c>
    </row>
    <row r="202" spans="1:3">
      <c r="A202" t="s">
        <v>1</v>
      </c>
      <c r="B202" t="s">
        <v>2</v>
      </c>
      <c r="C202" t="s">
        <v>3</v>
      </c>
    </row>
    <row r="203" spans="1:3">
      <c r="A203">
        <v>0</v>
      </c>
      <c r="B203">
        <v>360</v>
      </c>
      <c r="C203" s="1">
        <v>0.08</v>
      </c>
    </row>
    <row r="204" spans="1:3">
      <c r="A204">
        <v>360.01</v>
      </c>
      <c r="B204">
        <v>600</v>
      </c>
      <c r="C204" s="1">
        <v>0.09</v>
      </c>
    </row>
    <row r="205" spans="1:3">
      <c r="A205">
        <v>600.01</v>
      </c>
      <c r="B205" s="2">
        <v>1200</v>
      </c>
      <c r="C205" s="1">
        <v>0.11</v>
      </c>
    </row>
    <row r="206" spans="1:3">
      <c r="A206" t="s">
        <v>41</v>
      </c>
    </row>
    <row r="207" spans="1:3">
      <c r="A207" t="s">
        <v>1</v>
      </c>
      <c r="B207" t="s">
        <v>2</v>
      </c>
      <c r="C207" t="s">
        <v>3</v>
      </c>
    </row>
    <row r="208" spans="1:3">
      <c r="A208">
        <v>0</v>
      </c>
      <c r="B208">
        <v>360</v>
      </c>
      <c r="C208" s="1">
        <v>7.8200000000000006E-2</v>
      </c>
    </row>
    <row r="209" spans="1:3">
      <c r="A209">
        <v>360.01</v>
      </c>
      <c r="B209">
        <v>390</v>
      </c>
      <c r="C209" s="1">
        <v>8.8200000000000001E-2</v>
      </c>
    </row>
    <row r="210" spans="1:3">
      <c r="A210">
        <v>390.01</v>
      </c>
      <c r="B210">
        <v>600</v>
      </c>
      <c r="C210" s="1">
        <v>0.09</v>
      </c>
    </row>
    <row r="211" spans="1:3">
      <c r="A211">
        <v>600.01</v>
      </c>
      <c r="B211" s="2">
        <v>1200</v>
      </c>
      <c r="C211" s="1">
        <v>0.11</v>
      </c>
    </row>
    <row r="212" spans="1:3">
      <c r="A212" t="s">
        <v>42</v>
      </c>
    </row>
    <row r="213" spans="1:3">
      <c r="A213" t="s">
        <v>1</v>
      </c>
      <c r="B213" t="s">
        <v>2</v>
      </c>
      <c r="C213" t="s">
        <v>3</v>
      </c>
    </row>
    <row r="214" spans="1:3">
      <c r="A214">
        <v>0</v>
      </c>
      <c r="B214">
        <v>324.45</v>
      </c>
      <c r="C214" s="1">
        <v>7.8200000000000006E-2</v>
      </c>
    </row>
    <row r="215" spans="1:3">
      <c r="A215">
        <v>324.45999999999998</v>
      </c>
      <c r="B215">
        <v>390</v>
      </c>
      <c r="C215" s="1">
        <v>8.8200000000000001E-2</v>
      </c>
    </row>
    <row r="216" spans="1:3">
      <c r="A216">
        <v>390.01</v>
      </c>
      <c r="B216">
        <v>540.75</v>
      </c>
      <c r="C216" s="1">
        <v>0.09</v>
      </c>
    </row>
    <row r="217" spans="1:3">
      <c r="A217">
        <v>540.76</v>
      </c>
      <c r="B217" s="2">
        <v>1081.5</v>
      </c>
      <c r="C217" s="1">
        <v>0.11</v>
      </c>
    </row>
    <row r="218" spans="1:3">
      <c r="A218" t="s">
        <v>43</v>
      </c>
    </row>
    <row r="219" spans="1:3">
      <c r="A219" t="s">
        <v>1</v>
      </c>
      <c r="B219" t="s">
        <v>2</v>
      </c>
      <c r="C219" t="s">
        <v>3</v>
      </c>
    </row>
    <row r="220" spans="1:3">
      <c r="A220">
        <v>0</v>
      </c>
      <c r="B220">
        <v>309.56</v>
      </c>
      <c r="C220" s="1">
        <v>7.8200000000000006E-2</v>
      </c>
    </row>
    <row r="221" spans="1:3">
      <c r="A221">
        <v>309.57</v>
      </c>
      <c r="B221">
        <v>360</v>
      </c>
      <c r="C221" s="1">
        <v>8.8200000000000001E-2</v>
      </c>
    </row>
    <row r="222" spans="1:3">
      <c r="A222">
        <v>360.01</v>
      </c>
      <c r="B222">
        <v>515.92999999999995</v>
      </c>
      <c r="C222" s="1">
        <v>0.09</v>
      </c>
    </row>
    <row r="223" spans="1:3">
      <c r="A223">
        <v>515.94000000000005</v>
      </c>
      <c r="B223" s="2">
        <v>1031.8699999999999</v>
      </c>
      <c r="C223" s="1">
        <v>0.11</v>
      </c>
    </row>
    <row r="224" spans="1:3">
      <c r="A224" t="s">
        <v>44</v>
      </c>
    </row>
    <row r="225" spans="1:3">
      <c r="A225" t="s">
        <v>1</v>
      </c>
      <c r="B225" t="s">
        <v>2</v>
      </c>
      <c r="C225" t="s">
        <v>3</v>
      </c>
    </row>
    <row r="226" spans="1:3">
      <c r="A226">
        <v>0</v>
      </c>
      <c r="B226">
        <v>287.27</v>
      </c>
      <c r="C226" s="1">
        <v>7.8200000000000006E-2</v>
      </c>
    </row>
    <row r="227" spans="1:3">
      <c r="A227">
        <v>287.27999999999997</v>
      </c>
      <c r="B227">
        <v>336</v>
      </c>
      <c r="C227" s="1">
        <v>8.8200000000000001E-2</v>
      </c>
    </row>
    <row r="228" spans="1:3">
      <c r="A228">
        <v>336.01</v>
      </c>
      <c r="B228">
        <v>478.78</v>
      </c>
      <c r="C228" s="1">
        <v>0.09</v>
      </c>
    </row>
    <row r="229" spans="1:3">
      <c r="A229">
        <v>478.79</v>
      </c>
      <c r="B229">
        <v>957.56</v>
      </c>
      <c r="C229" s="1">
        <v>0.11</v>
      </c>
    </row>
    <row r="230" spans="1:3">
      <c r="A230" t="s">
        <v>45</v>
      </c>
    </row>
    <row r="231" spans="1:3">
      <c r="A231" t="s">
        <v>1</v>
      </c>
      <c r="B231" t="s">
        <v>2</v>
      </c>
      <c r="C231" t="s">
        <v>3</v>
      </c>
    </row>
    <row r="232" spans="1:3">
      <c r="A232">
        <v>0</v>
      </c>
      <c r="B232">
        <v>287.27</v>
      </c>
      <c r="C232" s="1">
        <v>0.08</v>
      </c>
    </row>
    <row r="233" spans="1:3">
      <c r="A233">
        <v>287.27999999999997</v>
      </c>
      <c r="B233">
        <v>478.78</v>
      </c>
      <c r="C233" s="1">
        <v>0.09</v>
      </c>
    </row>
    <row r="234" spans="1:3">
      <c r="A234">
        <v>478.79</v>
      </c>
      <c r="B234">
        <v>957.56</v>
      </c>
      <c r="C234" s="1">
        <v>0.11</v>
      </c>
    </row>
    <row r="235" spans="1:3">
      <c r="A235" t="s">
        <v>46</v>
      </c>
    </row>
    <row r="236" spans="1:3">
      <c r="A236" t="s">
        <v>1</v>
      </c>
      <c r="B236" t="s">
        <v>2</v>
      </c>
      <c r="C236" t="s">
        <v>3</v>
      </c>
    </row>
    <row r="237" spans="1:3">
      <c r="A237">
        <v>0</v>
      </c>
      <c r="B237">
        <v>249.8</v>
      </c>
      <c r="C237" s="1">
        <v>0.08</v>
      </c>
    </row>
    <row r="238" spans="1:3">
      <c r="A238">
        <v>249.81</v>
      </c>
      <c r="B238">
        <v>416.33</v>
      </c>
      <c r="C238" s="1">
        <v>0.09</v>
      </c>
    </row>
    <row r="239" spans="1:3">
      <c r="A239">
        <v>416.34</v>
      </c>
      <c r="B239">
        <v>832.66</v>
      </c>
      <c r="C239" s="1">
        <v>0.11</v>
      </c>
    </row>
    <row r="240" spans="1:3">
      <c r="A240" t="s">
        <v>47</v>
      </c>
    </row>
    <row r="241" spans="1:3">
      <c r="A241" t="s">
        <v>1</v>
      </c>
      <c r="B241" t="s">
        <v>2</v>
      </c>
      <c r="C241" t="s">
        <v>3</v>
      </c>
    </row>
    <row r="242" spans="1:3">
      <c r="A242">
        <v>0</v>
      </c>
      <c r="B242">
        <v>249.8</v>
      </c>
      <c r="C242" s="1">
        <v>0.08</v>
      </c>
    </row>
    <row r="243" spans="1:3">
      <c r="A243">
        <v>249.81</v>
      </c>
      <c r="B243">
        <v>416.33</v>
      </c>
      <c r="C243" s="1">
        <v>0.09</v>
      </c>
    </row>
    <row r="244" spans="1:3">
      <c r="A244">
        <v>416.34</v>
      </c>
      <c r="B244">
        <v>832.66</v>
      </c>
      <c r="C244" s="1">
        <v>0.1</v>
      </c>
    </row>
    <row r="245" spans="1:3">
      <c r="A245" t="s">
        <v>48</v>
      </c>
    </row>
    <row r="246" spans="1:3">
      <c r="A246" t="s">
        <v>1</v>
      </c>
      <c r="B246" t="s">
        <v>2</v>
      </c>
      <c r="C246" t="s">
        <v>3</v>
      </c>
    </row>
    <row r="247" spans="1:3">
      <c r="A247">
        <v>0</v>
      </c>
      <c r="B247">
        <v>174.86</v>
      </c>
      <c r="C247" s="1">
        <v>0.08</v>
      </c>
    </row>
    <row r="248" spans="1:3">
      <c r="A248">
        <v>174.87</v>
      </c>
      <c r="B248">
        <v>291.43</v>
      </c>
      <c r="C248" s="1">
        <v>0.09</v>
      </c>
    </row>
    <row r="249" spans="1:3">
      <c r="A249">
        <v>291.44</v>
      </c>
      <c r="B249">
        <v>582.86</v>
      </c>
      <c r="C249" s="1">
        <v>0.1</v>
      </c>
    </row>
    <row r="250" spans="1:3">
      <c r="A250" t="s">
        <v>49</v>
      </c>
    </row>
    <row r="251" spans="1:3">
      <c r="A251" t="s">
        <v>1</v>
      </c>
      <c r="B251" t="s">
        <v>2</v>
      </c>
      <c r="C251" t="s">
        <v>3</v>
      </c>
    </row>
    <row r="252" spans="1:3">
      <c r="A252">
        <v>0</v>
      </c>
      <c r="B252">
        <v>174.86</v>
      </c>
      <c r="C252" s="1">
        <v>7.6999999999999999E-2</v>
      </c>
    </row>
    <row r="253" spans="1:3">
      <c r="A253">
        <v>174.87</v>
      </c>
      <c r="B253">
        <v>291.43</v>
      </c>
      <c r="C253" s="1">
        <v>8.77E-2</v>
      </c>
    </row>
    <row r="254" spans="1:3">
      <c r="A254">
        <v>291.44</v>
      </c>
      <c r="B254">
        <v>582.86</v>
      </c>
      <c r="C254" s="1">
        <v>9.7699999999999995E-2</v>
      </c>
    </row>
    <row r="255" spans="1:3">
      <c r="A255" t="s">
        <v>50</v>
      </c>
    </row>
    <row r="256" spans="1:3">
      <c r="A256" t="s">
        <v>1</v>
      </c>
      <c r="B256" t="s">
        <v>2</v>
      </c>
      <c r="C256" t="s">
        <v>3</v>
      </c>
    </row>
    <row r="257" spans="1:3">
      <c r="A257">
        <v>0</v>
      </c>
      <c r="B257" s="2">
        <v>115582.02</v>
      </c>
      <c r="C257" s="1">
        <v>7.6999999999999999E-2</v>
      </c>
    </row>
    <row r="258" spans="1:3">
      <c r="A258" s="2">
        <v>115582.03</v>
      </c>
      <c r="B258" s="2">
        <v>192636.7</v>
      </c>
      <c r="C258" s="1">
        <v>8.77E-2</v>
      </c>
    </row>
    <row r="259" spans="1:3">
      <c r="A259" s="2">
        <v>192636.71</v>
      </c>
      <c r="B259" s="2">
        <v>385273.5</v>
      </c>
      <c r="C259" s="1">
        <v>9.7699999999999995E-2</v>
      </c>
    </row>
    <row r="260" spans="1:3">
      <c r="A260" t="s">
        <v>51</v>
      </c>
    </row>
    <row r="261" spans="1:3">
      <c r="A261" t="s">
        <v>1</v>
      </c>
      <c r="B261" t="s">
        <v>2</v>
      </c>
      <c r="C261" t="s">
        <v>3</v>
      </c>
    </row>
    <row r="262" spans="1:3">
      <c r="A262">
        <v>0</v>
      </c>
      <c r="B262" s="2">
        <v>88738.58</v>
      </c>
      <c r="C262" s="1">
        <v>7.6999999999999999E-2</v>
      </c>
    </row>
    <row r="263" spans="1:3">
      <c r="A263" s="2">
        <v>88738.59</v>
      </c>
      <c r="B263" s="2">
        <v>147897.64000000001</v>
      </c>
      <c r="C263" s="1">
        <v>8.77E-2</v>
      </c>
    </row>
    <row r="264" spans="1:3">
      <c r="A264" s="2">
        <v>147897.65</v>
      </c>
      <c r="B264" s="2">
        <v>295795.39</v>
      </c>
      <c r="C264" s="1">
        <v>9.7699999999999995E-2</v>
      </c>
    </row>
    <row r="265" spans="1:3">
      <c r="A265" t="s">
        <v>52</v>
      </c>
    </row>
    <row r="266" spans="1:3">
      <c r="A266" t="s">
        <v>1</v>
      </c>
      <c r="B266" t="s">
        <v>2</v>
      </c>
      <c r="C266" t="s">
        <v>3</v>
      </c>
    </row>
    <row r="267" spans="1:3">
      <c r="A267">
        <v>0</v>
      </c>
      <c r="B267" s="2">
        <v>50625.57</v>
      </c>
      <c r="C267" s="1">
        <v>7.6999999999999999E-2</v>
      </c>
    </row>
    <row r="268" spans="1:3">
      <c r="A268" s="2">
        <v>50625.58</v>
      </c>
      <c r="B268" s="2">
        <v>84375.96</v>
      </c>
      <c r="C268" s="1">
        <v>8.77E-2</v>
      </c>
    </row>
    <row r="269" spans="1:3">
      <c r="A269" s="2">
        <v>84375.97</v>
      </c>
      <c r="B269" s="2">
        <v>168751.98</v>
      </c>
      <c r="C269" s="1">
        <v>9.7699999999999995E-2</v>
      </c>
    </row>
    <row r="270" spans="1:3">
      <c r="A270" t="s">
        <v>53</v>
      </c>
    </row>
    <row r="271" spans="1:3">
      <c r="A271" t="s">
        <v>1</v>
      </c>
      <c r="B271" t="s">
        <v>2</v>
      </c>
      <c r="C271" t="s">
        <v>3</v>
      </c>
    </row>
    <row r="272" spans="1:3">
      <c r="A272">
        <v>0</v>
      </c>
      <c r="B272" s="2">
        <v>40536.129999999997</v>
      </c>
      <c r="C272" s="1">
        <v>0.08</v>
      </c>
    </row>
    <row r="273" spans="1:3">
      <c r="A273" s="2">
        <v>40536.14</v>
      </c>
      <c r="B273" s="2">
        <v>67560.22</v>
      </c>
      <c r="C273" s="1">
        <v>0.09</v>
      </c>
    </row>
    <row r="274" spans="1:3">
      <c r="A274" s="2">
        <v>67560.23</v>
      </c>
      <c r="B274" s="2">
        <v>135120.49</v>
      </c>
      <c r="C274" s="1">
        <v>0.1</v>
      </c>
    </row>
    <row r="275" spans="1:3">
      <c r="A275" t="s">
        <v>54</v>
      </c>
    </row>
    <row r="276" spans="1:3">
      <c r="A276" t="s">
        <v>1</v>
      </c>
      <c r="B276" t="s">
        <v>2</v>
      </c>
      <c r="C276" t="s">
        <v>3</v>
      </c>
    </row>
    <row r="277" spans="1:3">
      <c r="A277">
        <v>0</v>
      </c>
      <c r="B277" s="2">
        <v>32449.67</v>
      </c>
      <c r="C277" s="1">
        <v>0.08</v>
      </c>
    </row>
    <row r="278" spans="1:3">
      <c r="A278" s="2">
        <v>32449.68</v>
      </c>
      <c r="B278" s="2">
        <v>54082.79</v>
      </c>
      <c r="C278" s="1">
        <v>0.09</v>
      </c>
    </row>
    <row r="279" spans="1:3">
      <c r="A279" s="2">
        <v>54082.8</v>
      </c>
      <c r="B279" s="2">
        <v>108165.62</v>
      </c>
      <c r="C279" s="1">
        <v>0.1</v>
      </c>
    </row>
    <row r="280" spans="1:3">
      <c r="A280" t="s">
        <v>55</v>
      </c>
    </row>
    <row r="281" spans="1:3">
      <c r="A281" t="s">
        <v>1</v>
      </c>
      <c r="B281" t="s">
        <v>2</v>
      </c>
      <c r="C281" t="s">
        <v>3</v>
      </c>
    </row>
    <row r="282" spans="1:3">
      <c r="A282">
        <v>0</v>
      </c>
      <c r="B282" s="2">
        <v>25924.48</v>
      </c>
      <c r="C282" s="1">
        <v>0.08</v>
      </c>
    </row>
    <row r="283" spans="1:3">
      <c r="A283" s="2">
        <v>25924.49</v>
      </c>
      <c r="B283" s="2">
        <v>43207.47</v>
      </c>
      <c r="C283" s="1">
        <v>0.09</v>
      </c>
    </row>
    <row r="284" spans="1:3">
      <c r="A284" s="2">
        <v>43207.48</v>
      </c>
      <c r="B284" s="2">
        <v>86414.97</v>
      </c>
      <c r="C284" s="1">
        <v>0.1</v>
      </c>
    </row>
    <row r="285" spans="1:3">
      <c r="A285" t="s">
        <v>56</v>
      </c>
    </row>
    <row r="286" spans="1:3">
      <c r="A286" t="s">
        <v>1</v>
      </c>
      <c r="B286" t="s">
        <v>2</v>
      </c>
      <c r="C286" t="s">
        <v>3</v>
      </c>
    </row>
    <row r="287" spans="1:3">
      <c r="A287">
        <v>0</v>
      </c>
      <c r="B287" s="2">
        <v>15183.93</v>
      </c>
      <c r="C287" s="1">
        <v>0.08</v>
      </c>
    </row>
    <row r="288" spans="1:3">
      <c r="A288" s="2">
        <v>15813.94</v>
      </c>
      <c r="B288" s="2">
        <v>25306.55</v>
      </c>
      <c r="C288" s="1">
        <v>0.09</v>
      </c>
    </row>
    <row r="289" spans="1:3">
      <c r="A289" s="2">
        <v>25306.560000000001</v>
      </c>
      <c r="B289" s="2">
        <v>50613.120000000003</v>
      </c>
      <c r="C289" s="1">
        <v>0.1</v>
      </c>
    </row>
    <row r="290" spans="1:3">
      <c r="A290" t="s">
        <v>57</v>
      </c>
    </row>
    <row r="291" spans="1:3">
      <c r="A291" t="s">
        <v>1</v>
      </c>
      <c r="B291" t="s">
        <v>2</v>
      </c>
      <c r="C291" t="s">
        <v>3</v>
      </c>
    </row>
    <row r="292" spans="1:3">
      <c r="A292">
        <v>0</v>
      </c>
      <c r="B292" s="2">
        <v>12731793.25</v>
      </c>
      <c r="C292" s="1">
        <v>0.08</v>
      </c>
    </row>
    <row r="293" spans="1:3">
      <c r="A293" s="2">
        <v>12731793.26</v>
      </c>
      <c r="B293" s="2">
        <v>21219655.350000001</v>
      </c>
      <c r="C293" s="1">
        <v>0.09</v>
      </c>
    </row>
    <row r="294" spans="1:3">
      <c r="A294" s="2">
        <v>21219655.359999999</v>
      </c>
      <c r="B294" s="2">
        <v>42439310.549999997</v>
      </c>
      <c r="C294" s="1">
        <v>0.1</v>
      </c>
    </row>
    <row r="295" spans="1:3">
      <c r="A295" t="s">
        <v>58</v>
      </c>
    </row>
    <row r="296" spans="1:3">
      <c r="A296" t="s">
        <v>1</v>
      </c>
      <c r="B296" t="s">
        <v>2</v>
      </c>
      <c r="C296" t="s">
        <v>3</v>
      </c>
    </row>
    <row r="297" spans="1:3">
      <c r="A297">
        <v>0</v>
      </c>
      <c r="B297" s="2">
        <v>9064419.6899999995</v>
      </c>
      <c r="C297" s="1">
        <v>0.08</v>
      </c>
    </row>
    <row r="298" spans="1:3">
      <c r="A298" s="2">
        <v>9064419.6999999993</v>
      </c>
      <c r="B298" s="2">
        <v>15107366.1</v>
      </c>
      <c r="C298" s="1">
        <v>0.09</v>
      </c>
    </row>
    <row r="299" spans="1:3">
      <c r="A299" s="2">
        <v>15107366.109999999</v>
      </c>
      <c r="B299" s="2">
        <v>30214732.09</v>
      </c>
      <c r="C299" s="1">
        <v>0.1</v>
      </c>
    </row>
    <row r="300" spans="1:3">
      <c r="A300" t="s">
        <v>59</v>
      </c>
    </row>
    <row r="301" spans="1:3">
      <c r="A301" t="s">
        <v>1</v>
      </c>
      <c r="B301" t="s">
        <v>2</v>
      </c>
      <c r="C301" t="s">
        <v>3</v>
      </c>
    </row>
    <row r="302" spans="1:3">
      <c r="A302">
        <v>0</v>
      </c>
      <c r="B302" s="2">
        <v>4728257.59</v>
      </c>
      <c r="C302" s="1">
        <v>0.08</v>
      </c>
    </row>
    <row r="303" spans="1:3">
      <c r="A303" s="2">
        <v>4728257.5999999996</v>
      </c>
      <c r="B303" s="2">
        <v>7880429.29</v>
      </c>
      <c r="C303" s="1">
        <v>0.09</v>
      </c>
    </row>
    <row r="304" spans="1:3">
      <c r="A304" s="2">
        <v>7880429.2999999998</v>
      </c>
      <c r="B304" s="2">
        <v>15760858.52</v>
      </c>
      <c r="C304" s="1">
        <v>0.1</v>
      </c>
    </row>
    <row r="305" spans="1:3">
      <c r="A305" t="s">
        <v>60</v>
      </c>
    </row>
    <row r="306" spans="1:3">
      <c r="A306" t="s">
        <v>1</v>
      </c>
      <c r="B306" t="s">
        <v>2</v>
      </c>
      <c r="C306" t="s">
        <v>3</v>
      </c>
    </row>
    <row r="307" spans="1:3">
      <c r="A307">
        <v>0</v>
      </c>
      <c r="B307" s="2">
        <v>3459616.19</v>
      </c>
      <c r="C307" s="1">
        <v>0.08</v>
      </c>
    </row>
    <row r="308" spans="1:3">
      <c r="A308" s="2">
        <v>3459616.2</v>
      </c>
      <c r="B308" s="2">
        <v>5766027.1399999997</v>
      </c>
      <c r="C308" s="1">
        <v>0.09</v>
      </c>
    </row>
    <row r="309" spans="1:3">
      <c r="A309" s="2">
        <v>5766027.1500000004</v>
      </c>
      <c r="B309" s="2">
        <v>11532054.23</v>
      </c>
      <c r="C309" s="1">
        <v>0.1</v>
      </c>
    </row>
    <row r="310" spans="1:3">
      <c r="A310" t="s">
        <v>61</v>
      </c>
    </row>
    <row r="311" spans="1:3">
      <c r="A311" t="s">
        <v>1</v>
      </c>
      <c r="B311" t="s">
        <v>2</v>
      </c>
      <c r="C311" t="s">
        <v>3</v>
      </c>
    </row>
    <row r="312" spans="1:3">
      <c r="A312">
        <v>0</v>
      </c>
      <c r="B312" s="2">
        <v>1434259</v>
      </c>
      <c r="C312" s="1">
        <v>0.08</v>
      </c>
    </row>
    <row r="313" spans="1:3">
      <c r="A313" s="2">
        <v>1434259.01</v>
      </c>
      <c r="B313" s="2">
        <v>2390431.66</v>
      </c>
      <c r="C313" s="1">
        <v>0.09</v>
      </c>
    </row>
    <row r="314" spans="1:3">
      <c r="A314" s="2">
        <v>2390431.67</v>
      </c>
      <c r="B314" s="2">
        <v>4780863.3</v>
      </c>
      <c r="C314" s="1">
        <v>0.1</v>
      </c>
    </row>
    <row r="315" spans="1:3">
      <c r="A315" t="s">
        <v>62</v>
      </c>
    </row>
    <row r="316" spans="1:3">
      <c r="A316" t="s">
        <v>1</v>
      </c>
      <c r="B316" t="s">
        <v>2</v>
      </c>
      <c r="C316" t="s">
        <v>3</v>
      </c>
    </row>
    <row r="317" spans="1:3">
      <c r="A317">
        <v>0</v>
      </c>
      <c r="B317" s="2">
        <v>638052.75</v>
      </c>
      <c r="C317" s="1">
        <v>0.08</v>
      </c>
    </row>
    <row r="318" spans="1:3">
      <c r="A318" s="2">
        <v>638052.76</v>
      </c>
      <c r="B318" s="2">
        <v>1063421.25</v>
      </c>
      <c r="C318" s="1">
        <v>0.09</v>
      </c>
    </row>
    <row r="319" spans="1:3">
      <c r="A319" s="2">
        <v>1063421.26</v>
      </c>
      <c r="B319" s="2">
        <v>2126842.4900000002</v>
      </c>
      <c r="C319" s="1">
        <v>0.1</v>
      </c>
    </row>
    <row r="320" spans="1:3">
      <c r="A320" t="s">
        <v>63</v>
      </c>
    </row>
    <row r="321" spans="1:3">
      <c r="A321" t="s">
        <v>1</v>
      </c>
      <c r="B321" t="s">
        <v>2</v>
      </c>
      <c r="C321" t="s">
        <v>3</v>
      </c>
    </row>
    <row r="322" spans="1:3">
      <c r="A322">
        <v>0</v>
      </c>
      <c r="B322" s="2">
        <v>276978.83</v>
      </c>
      <c r="C322" s="1">
        <v>0.08</v>
      </c>
    </row>
    <row r="323" spans="1:3">
      <c r="A323" s="2">
        <v>276978.84000000003</v>
      </c>
      <c r="B323" s="2">
        <v>461631.38</v>
      </c>
      <c r="C323" s="1">
        <v>0.09</v>
      </c>
    </row>
    <row r="324" spans="1:3">
      <c r="A324" s="2">
        <v>461631.39</v>
      </c>
      <c r="B324" s="2">
        <v>923262.76</v>
      </c>
      <c r="C324" s="1">
        <v>0.1</v>
      </c>
    </row>
    <row r="325" spans="1:3">
      <c r="A325" t="s">
        <v>64</v>
      </c>
    </row>
    <row r="326" spans="1:3">
      <c r="A326" t="s">
        <v>1</v>
      </c>
      <c r="B326" t="s">
        <v>2</v>
      </c>
      <c r="C326" t="s">
        <v>3</v>
      </c>
    </row>
    <row r="327" spans="1:3">
      <c r="A327">
        <v>0</v>
      </c>
      <c r="B327" s="2">
        <v>126000.6</v>
      </c>
      <c r="C327" s="1">
        <v>0.08</v>
      </c>
    </row>
    <row r="328" spans="1:3">
      <c r="A328" s="2">
        <v>126000.61</v>
      </c>
      <c r="B328" s="2">
        <v>210001</v>
      </c>
      <c r="C328" s="1">
        <v>0.09</v>
      </c>
    </row>
    <row r="329" spans="1:3">
      <c r="A329" s="2">
        <v>210001.01</v>
      </c>
      <c r="B329" s="2">
        <v>420002</v>
      </c>
      <c r="C329" s="1">
        <v>0.1</v>
      </c>
    </row>
    <row r="330" spans="1:3">
      <c r="A330" t="s">
        <v>65</v>
      </c>
    </row>
    <row r="331" spans="1:3">
      <c r="A331" t="s">
        <v>1</v>
      </c>
      <c r="B331" t="s">
        <v>2</v>
      </c>
      <c r="C331" t="s">
        <v>3</v>
      </c>
    </row>
    <row r="332" spans="1:3">
      <c r="A332">
        <v>0</v>
      </c>
      <c r="B332" s="2">
        <v>51000</v>
      </c>
      <c r="C332" s="1">
        <v>0.08</v>
      </c>
    </row>
    <row r="333" spans="1:3">
      <c r="A333" s="2">
        <v>51000.01</v>
      </c>
      <c r="B333" s="2">
        <v>85000</v>
      </c>
      <c r="C333" s="1">
        <v>0.09</v>
      </c>
    </row>
    <row r="334" spans="1:3">
      <c r="A334" s="2">
        <v>85000.01</v>
      </c>
      <c r="B334" s="2">
        <v>170000</v>
      </c>
      <c r="C334" s="1">
        <v>0.1</v>
      </c>
    </row>
    <row r="335" spans="1:3">
      <c r="A335" t="s">
        <v>66</v>
      </c>
    </row>
    <row r="336" spans="1:3">
      <c r="A336" t="s">
        <v>1</v>
      </c>
      <c r="B336" t="s">
        <v>2</v>
      </c>
      <c r="C336" t="s">
        <v>3</v>
      </c>
    </row>
    <row r="337" spans="1:3">
      <c r="A337">
        <v>0</v>
      </c>
      <c r="B337" s="2">
        <v>38136.239999999998</v>
      </c>
      <c r="C337" s="1">
        <v>0.08</v>
      </c>
    </row>
    <row r="338" spans="1:3">
      <c r="A338" s="2">
        <v>38136.25</v>
      </c>
      <c r="B338" s="2">
        <v>63650.400000000001</v>
      </c>
      <c r="C338" s="1">
        <v>0.09</v>
      </c>
    </row>
    <row r="339" spans="1:3">
      <c r="A339" s="2">
        <v>63650.41</v>
      </c>
      <c r="B339" s="2">
        <v>127120.8</v>
      </c>
      <c r="C339" s="1">
        <v>0.1</v>
      </c>
    </row>
    <row r="340" spans="1:3">
      <c r="A340" t="s">
        <v>67</v>
      </c>
    </row>
    <row r="341" spans="1:3">
      <c r="A341" t="s">
        <v>1</v>
      </c>
      <c r="B341" t="s">
        <v>2</v>
      </c>
      <c r="C341" t="s">
        <v>3</v>
      </c>
    </row>
    <row r="342" spans="1:3">
      <c r="A342">
        <v>0</v>
      </c>
      <c r="B342" s="2">
        <v>65658</v>
      </c>
      <c r="C342" s="1">
        <v>0.08</v>
      </c>
    </row>
    <row r="343" spans="1:3">
      <c r="A343" s="2">
        <v>35658.01</v>
      </c>
      <c r="B343" s="2">
        <v>59430.01</v>
      </c>
      <c r="C343" s="1">
        <v>0.09</v>
      </c>
    </row>
    <row r="344" spans="1:3">
      <c r="A344" s="2">
        <v>59430.02</v>
      </c>
      <c r="B344" s="2">
        <v>118859.99</v>
      </c>
      <c r="C344" s="1">
        <v>0.1</v>
      </c>
    </row>
    <row r="345" spans="1:3">
      <c r="A345" t="s">
        <v>68</v>
      </c>
    </row>
    <row r="346" spans="1:3">
      <c r="A346" t="s">
        <v>1</v>
      </c>
      <c r="B346" t="s">
        <v>2</v>
      </c>
      <c r="C346" t="s">
        <v>3</v>
      </c>
    </row>
    <row r="347" spans="1:3">
      <c r="A347">
        <v>0</v>
      </c>
      <c r="B347" s="2">
        <v>27650.43</v>
      </c>
      <c r="C347" s="1">
        <v>0.08</v>
      </c>
    </row>
    <row r="348" spans="1:3">
      <c r="A348" s="2">
        <v>27650.44</v>
      </c>
      <c r="B348" s="2">
        <v>46084.06</v>
      </c>
      <c r="C348" s="1">
        <v>0.09</v>
      </c>
    </row>
    <row r="349" spans="1:3">
      <c r="A349" s="2">
        <v>46084.07</v>
      </c>
      <c r="B349" s="2">
        <v>92168.11</v>
      </c>
      <c r="C349" s="1">
        <v>0.1</v>
      </c>
    </row>
    <row r="350" spans="1:3">
      <c r="A350" t="s">
        <v>69</v>
      </c>
    </row>
    <row r="351" spans="1:3">
      <c r="A351" t="s">
        <v>1</v>
      </c>
      <c r="B351" t="s">
        <v>2</v>
      </c>
      <c r="C351" t="s">
        <v>3</v>
      </c>
    </row>
    <row r="352" spans="1:3">
      <c r="A352">
        <v>0</v>
      </c>
      <c r="B352" s="2">
        <v>19823.939999999999</v>
      </c>
      <c r="C352" s="1">
        <v>0.08</v>
      </c>
    </row>
    <row r="353" spans="1:3">
      <c r="A353" s="2">
        <v>19823.95</v>
      </c>
      <c r="B353" s="2">
        <v>33039.9</v>
      </c>
      <c r="C353" s="1">
        <v>0.09</v>
      </c>
    </row>
    <row r="354" spans="1:3">
      <c r="A354" s="2">
        <v>33039.910000000003</v>
      </c>
      <c r="B354" s="2">
        <v>66079.759999999995</v>
      </c>
      <c r="C354" s="1">
        <v>0.1</v>
      </c>
    </row>
    <row r="355" spans="1:3">
      <c r="A355" t="s">
        <v>70</v>
      </c>
    </row>
    <row r="356" spans="1:3">
      <c r="A356" t="s">
        <v>1</v>
      </c>
      <c r="B356" t="s">
        <v>2</v>
      </c>
      <c r="C356" t="s">
        <v>3</v>
      </c>
    </row>
    <row r="357" spans="1:3">
      <c r="A357">
        <v>0</v>
      </c>
      <c r="B357" s="2">
        <v>18685.97</v>
      </c>
      <c r="C357" s="1">
        <v>0.08</v>
      </c>
    </row>
    <row r="358" spans="1:3">
      <c r="A358" s="2">
        <v>18685.98</v>
      </c>
      <c r="B358" s="2">
        <v>31143.279999999999</v>
      </c>
      <c r="C358" s="1">
        <v>0.09</v>
      </c>
    </row>
    <row r="359" spans="1:3">
      <c r="A359" s="2">
        <v>31143.29</v>
      </c>
      <c r="B359" s="2">
        <v>62286.55</v>
      </c>
      <c r="C359" s="1">
        <v>0.1</v>
      </c>
    </row>
    <row r="360" spans="1:3">
      <c r="A360" t="s">
        <v>71</v>
      </c>
    </row>
    <row r="361" spans="1:3">
      <c r="A361" t="s">
        <v>1</v>
      </c>
      <c r="B361" t="s">
        <v>2</v>
      </c>
      <c r="C361" t="s">
        <v>3</v>
      </c>
    </row>
    <row r="362" spans="1:3">
      <c r="A362">
        <v>0</v>
      </c>
      <c r="B362" s="2">
        <v>14413.73</v>
      </c>
      <c r="C362" s="1">
        <v>0.08</v>
      </c>
    </row>
    <row r="363" spans="1:3">
      <c r="A363" s="2">
        <v>14413.74</v>
      </c>
      <c r="B363" s="2">
        <v>24022.89</v>
      </c>
      <c r="C363" s="1">
        <v>0.09</v>
      </c>
    </row>
    <row r="364" spans="1:3">
      <c r="A364" s="2">
        <v>24022.9</v>
      </c>
      <c r="B364" s="2">
        <v>48045.78</v>
      </c>
      <c r="C364" s="1">
        <v>0.1</v>
      </c>
    </row>
    <row r="365" spans="1:3">
      <c r="A365" t="s">
        <v>72</v>
      </c>
    </row>
    <row r="366" spans="1:3">
      <c r="A366" t="s">
        <v>1</v>
      </c>
      <c r="B366" t="s">
        <v>2</v>
      </c>
      <c r="C366" t="s">
        <v>3</v>
      </c>
    </row>
    <row r="367" spans="1:3">
      <c r="A367">
        <v>0</v>
      </c>
      <c r="B367" s="2">
        <v>11673.1</v>
      </c>
      <c r="C367" s="1">
        <v>0.08</v>
      </c>
    </row>
    <row r="368" spans="1:3">
      <c r="A368" s="2">
        <v>11673.11</v>
      </c>
      <c r="B368" s="2">
        <v>19455.169999999998</v>
      </c>
      <c r="C368" s="1">
        <v>0.09</v>
      </c>
    </row>
    <row r="369" spans="1:3">
      <c r="A369" s="2">
        <v>19455.18</v>
      </c>
      <c r="B369" s="2">
        <v>38910.35</v>
      </c>
      <c r="C369" s="1">
        <v>0.1</v>
      </c>
    </row>
    <row r="370" spans="1:3">
      <c r="A370" t="s">
        <v>73</v>
      </c>
    </row>
    <row r="371" spans="1:3">
      <c r="A371" t="s">
        <v>1</v>
      </c>
      <c r="B371" t="s">
        <v>2</v>
      </c>
      <c r="C371" t="s">
        <v>3</v>
      </c>
    </row>
    <row r="372" spans="1:3">
      <c r="A372">
        <v>0</v>
      </c>
      <c r="B372" s="2">
        <v>11003.02</v>
      </c>
      <c r="C372" s="1">
        <v>0.08</v>
      </c>
    </row>
    <row r="373" spans="1:3">
      <c r="A373" s="2">
        <v>11003.03</v>
      </c>
      <c r="B373" s="2">
        <v>18338.37</v>
      </c>
      <c r="C373" s="1">
        <v>0.09</v>
      </c>
    </row>
    <row r="374" spans="1:3">
      <c r="A374" s="2">
        <v>18338.38</v>
      </c>
      <c r="B374" s="2">
        <v>36676.74</v>
      </c>
      <c r="C374" s="1">
        <v>0.1</v>
      </c>
    </row>
    <row r="375" spans="1:3">
      <c r="A375" t="s">
        <v>74</v>
      </c>
    </row>
    <row r="376" spans="1:3">
      <c r="A376" t="s">
        <v>1</v>
      </c>
      <c r="B376" t="s">
        <v>2</v>
      </c>
      <c r="C376" t="s">
        <v>3</v>
      </c>
    </row>
    <row r="377" spans="1:3">
      <c r="A377">
        <v>0</v>
      </c>
      <c r="B377" s="2">
        <v>8654.2800000000007</v>
      </c>
      <c r="C377" s="1">
        <v>0.08</v>
      </c>
    </row>
    <row r="378" spans="1:3">
      <c r="A378" s="2">
        <v>8654.2900000000009</v>
      </c>
      <c r="B378" s="2">
        <v>14423.8</v>
      </c>
      <c r="C378" s="1">
        <v>0.09</v>
      </c>
    </row>
    <row r="379" spans="1:3">
      <c r="A379" s="2">
        <v>14423.81</v>
      </c>
      <c r="B379" s="2">
        <v>28847.52</v>
      </c>
      <c r="C379" s="1">
        <v>0.1</v>
      </c>
    </row>
    <row r="380" spans="1:3">
      <c r="A380" t="s">
        <v>75</v>
      </c>
    </row>
    <row r="381" spans="1:3">
      <c r="A381" t="s">
        <v>1</v>
      </c>
      <c r="B381" t="s">
        <v>2</v>
      </c>
      <c r="C381" t="s">
        <v>3</v>
      </c>
    </row>
    <row r="382" spans="1:3">
      <c r="A382">
        <v>0</v>
      </c>
      <c r="B382" s="2">
        <v>8212.42</v>
      </c>
      <c r="C382" s="1">
        <v>0.08</v>
      </c>
    </row>
    <row r="383" spans="1:3">
      <c r="A383" s="2">
        <v>8212.43</v>
      </c>
      <c r="B383" s="2">
        <v>13687.39</v>
      </c>
      <c r="C383" s="1">
        <v>0.09</v>
      </c>
    </row>
    <row r="384" spans="1:3">
      <c r="A384" s="2">
        <v>13687.4</v>
      </c>
      <c r="B384" s="2">
        <v>27374.76</v>
      </c>
      <c r="C384" s="1">
        <v>0.1</v>
      </c>
    </row>
    <row r="385" spans="1:3">
      <c r="A385" t="s">
        <v>76</v>
      </c>
    </row>
    <row r="386" spans="1:3">
      <c r="A386" t="s">
        <v>1</v>
      </c>
      <c r="B386" t="s">
        <v>2</v>
      </c>
      <c r="C386" t="s">
        <v>3</v>
      </c>
    </row>
    <row r="387" spans="1:3">
      <c r="A387">
        <v>0</v>
      </c>
      <c r="B387" s="2">
        <v>4753.1099999999997</v>
      </c>
      <c r="C387" s="1">
        <v>0.08</v>
      </c>
    </row>
    <row r="388" spans="1:3">
      <c r="A388" s="2">
        <v>4753.12</v>
      </c>
      <c r="B388" s="2">
        <v>7921.86</v>
      </c>
      <c r="C388" s="1">
        <v>0.09</v>
      </c>
    </row>
    <row r="389" spans="1:3">
      <c r="A389" s="2">
        <v>7921.87</v>
      </c>
      <c r="B389" s="2">
        <v>15843.71</v>
      </c>
      <c r="C389" s="1">
        <v>0.1</v>
      </c>
    </row>
    <row r="390" spans="1:3">
      <c r="A390" t="s">
        <v>77</v>
      </c>
    </row>
    <row r="391" spans="1:3">
      <c r="A391" t="s">
        <v>1</v>
      </c>
      <c r="B391" t="s">
        <v>2</v>
      </c>
      <c r="C391" t="s">
        <v>3</v>
      </c>
    </row>
    <row r="392" spans="1:3">
      <c r="A392">
        <v>0</v>
      </c>
      <c r="B392" s="2">
        <v>3044.72</v>
      </c>
      <c r="C392" s="1">
        <v>0.08</v>
      </c>
    </row>
    <row r="393" spans="1:3">
      <c r="A393" s="2">
        <v>3044.73</v>
      </c>
      <c r="B393" s="2">
        <v>5074.54</v>
      </c>
      <c r="C393" s="1">
        <v>0.09</v>
      </c>
    </row>
    <row r="394" spans="1:3">
      <c r="A394" s="2">
        <v>5074.55</v>
      </c>
      <c r="B394" s="2">
        <v>10149.07</v>
      </c>
      <c r="C394" s="1">
        <v>0.1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247"/>
  <sheetViews>
    <sheetView topLeftCell="A124" workbookViewId="0">
      <selection activeCell="B37" sqref="B37:B39"/>
    </sheetView>
  </sheetViews>
  <sheetFormatPr defaultRowHeight="15"/>
  <cols>
    <col min="1" max="2" width="10.5703125" style="3" bestFit="1" customWidth="1"/>
    <col min="3" max="4" width="12" bestFit="1" customWidth="1"/>
    <col min="5" max="5" width="7.7109375" bestFit="1" customWidth="1"/>
    <col min="6" max="6" width="8.28515625" bestFit="1" customWidth="1"/>
  </cols>
  <sheetData>
    <row r="1" spans="1:6">
      <c r="A1" s="3" t="s">
        <v>78</v>
      </c>
      <c r="B1" s="3" t="s">
        <v>79</v>
      </c>
      <c r="C1" t="s">
        <v>1</v>
      </c>
      <c r="D1" t="s">
        <v>2</v>
      </c>
      <c r="E1" t="s">
        <v>3</v>
      </c>
      <c r="F1" t="s">
        <v>4</v>
      </c>
    </row>
    <row r="2" spans="1:6">
      <c r="A2" s="3">
        <v>46023</v>
      </c>
      <c r="B2" s="3">
        <v>46387</v>
      </c>
      <c r="C2">
        <v>0</v>
      </c>
      <c r="D2">
        <v>1621</v>
      </c>
      <c r="E2">
        <v>7.4999999999999997E-2</v>
      </c>
      <c r="F2">
        <v>0</v>
      </c>
    </row>
    <row r="3" spans="1:6">
      <c r="A3" s="3">
        <v>46023</v>
      </c>
      <c r="B3" s="3">
        <v>46387</v>
      </c>
      <c r="C3">
        <v>1621.01</v>
      </c>
      <c r="D3">
        <v>2902.84</v>
      </c>
      <c r="E3">
        <v>0.09</v>
      </c>
      <c r="F3">
        <v>24.32</v>
      </c>
    </row>
    <row r="4" spans="1:6">
      <c r="A4" s="3">
        <v>46023</v>
      </c>
      <c r="B4" s="3">
        <v>46387</v>
      </c>
      <c r="C4">
        <v>2902.85</v>
      </c>
      <c r="D4">
        <v>4354.2700000000004</v>
      </c>
      <c r="E4">
        <v>0.12</v>
      </c>
      <c r="F4">
        <v>111.4</v>
      </c>
    </row>
    <row r="5" spans="1:6">
      <c r="A5" s="3">
        <v>46023</v>
      </c>
      <c r="B5" s="3">
        <v>46387</v>
      </c>
      <c r="C5">
        <v>4354.28</v>
      </c>
      <c r="D5">
        <v>8475.5499999999993</v>
      </c>
      <c r="E5">
        <v>0.14000000000000001</v>
      </c>
      <c r="F5">
        <v>198.49</v>
      </c>
    </row>
    <row r="6" spans="1:6">
      <c r="A6" s="3">
        <v>45658</v>
      </c>
      <c r="B6" s="3">
        <v>46022</v>
      </c>
      <c r="C6">
        <v>0</v>
      </c>
      <c r="D6">
        <v>1518</v>
      </c>
      <c r="E6">
        <v>7.4999999999999997E-2</v>
      </c>
      <c r="F6">
        <v>0</v>
      </c>
    </row>
    <row r="7" spans="1:6">
      <c r="A7" s="3">
        <v>45658</v>
      </c>
      <c r="B7" s="3">
        <v>46022</v>
      </c>
      <c r="C7">
        <v>1518.01</v>
      </c>
      <c r="D7">
        <v>2793.88</v>
      </c>
      <c r="E7">
        <v>0.09</v>
      </c>
      <c r="F7">
        <v>22.77</v>
      </c>
    </row>
    <row r="8" spans="1:6">
      <c r="A8" s="3">
        <v>45658</v>
      </c>
      <c r="B8" s="3">
        <v>46022</v>
      </c>
      <c r="C8">
        <v>2793.89</v>
      </c>
      <c r="D8">
        <v>4190.83</v>
      </c>
      <c r="E8">
        <v>0.12</v>
      </c>
      <c r="F8">
        <v>106.59</v>
      </c>
    </row>
    <row r="9" spans="1:6">
      <c r="A9" s="3">
        <v>45658</v>
      </c>
      <c r="B9" s="3">
        <v>46022</v>
      </c>
      <c r="C9">
        <v>4190.84</v>
      </c>
      <c r="D9">
        <v>8157.41</v>
      </c>
      <c r="E9">
        <v>0.14000000000000001</v>
      </c>
      <c r="F9">
        <v>190.4</v>
      </c>
    </row>
    <row r="10" spans="1:6">
      <c r="A10" s="3">
        <v>45292</v>
      </c>
      <c r="B10" s="3">
        <v>45657</v>
      </c>
      <c r="C10">
        <v>0</v>
      </c>
      <c r="D10">
        <v>1412</v>
      </c>
      <c r="E10">
        <v>7.4999999999999997E-2</v>
      </c>
      <c r="F10">
        <v>0</v>
      </c>
    </row>
    <row r="11" spans="1:6">
      <c r="A11" s="3">
        <v>45292</v>
      </c>
      <c r="B11" s="3">
        <v>45657</v>
      </c>
      <c r="C11">
        <v>1412.01</v>
      </c>
      <c r="D11">
        <v>2666.68</v>
      </c>
      <c r="E11">
        <v>0.09</v>
      </c>
      <c r="F11">
        <v>21.18</v>
      </c>
    </row>
    <row r="12" spans="1:6">
      <c r="A12" s="3">
        <v>45292</v>
      </c>
      <c r="B12" s="3">
        <v>45657</v>
      </c>
      <c r="C12">
        <v>2666.69</v>
      </c>
      <c r="D12">
        <v>4000.03</v>
      </c>
      <c r="E12">
        <v>0.12</v>
      </c>
      <c r="F12">
        <v>101.18</v>
      </c>
    </row>
    <row r="13" spans="1:6">
      <c r="A13" s="3">
        <v>45292</v>
      </c>
      <c r="B13" s="3">
        <v>45657</v>
      </c>
      <c r="C13">
        <v>4000.04</v>
      </c>
      <c r="D13">
        <v>7786.02</v>
      </c>
      <c r="E13">
        <v>0.14000000000000001</v>
      </c>
      <c r="F13">
        <v>181.18</v>
      </c>
    </row>
    <row r="14" spans="1:6">
      <c r="A14" s="3">
        <v>45047</v>
      </c>
      <c r="B14" s="3">
        <v>45291</v>
      </c>
      <c r="C14">
        <v>0</v>
      </c>
      <c r="D14">
        <v>1320</v>
      </c>
      <c r="E14">
        <v>7.4999999999999997E-2</v>
      </c>
      <c r="F14">
        <v>0</v>
      </c>
    </row>
    <row r="15" spans="1:6">
      <c r="A15" s="3">
        <v>45047</v>
      </c>
      <c r="B15" s="3">
        <v>45291</v>
      </c>
      <c r="C15">
        <v>1320.01</v>
      </c>
      <c r="D15">
        <v>2571.29</v>
      </c>
      <c r="E15">
        <v>0.09</v>
      </c>
      <c r="F15">
        <v>19.8</v>
      </c>
    </row>
    <row r="16" spans="1:6">
      <c r="A16" s="3">
        <v>45047</v>
      </c>
      <c r="B16" s="3">
        <v>45291</v>
      </c>
      <c r="C16">
        <v>2571.3000000000002</v>
      </c>
      <c r="D16">
        <v>3856.94</v>
      </c>
      <c r="E16">
        <v>0.12</v>
      </c>
      <c r="F16">
        <v>96.94</v>
      </c>
    </row>
    <row r="17" spans="1:6">
      <c r="A17" s="3">
        <v>45047</v>
      </c>
      <c r="B17" s="3">
        <v>45291</v>
      </c>
      <c r="C17">
        <v>3856.95</v>
      </c>
      <c r="D17">
        <v>7507.49</v>
      </c>
      <c r="E17">
        <v>0.14000000000000001</v>
      </c>
      <c r="F17">
        <v>174.08</v>
      </c>
    </row>
    <row r="18" spans="1:6">
      <c r="A18" s="3">
        <v>44927</v>
      </c>
      <c r="B18" s="3">
        <v>45046</v>
      </c>
      <c r="C18">
        <v>0</v>
      </c>
      <c r="D18">
        <v>1302</v>
      </c>
      <c r="E18">
        <v>7.4999999999999997E-2</v>
      </c>
      <c r="F18">
        <v>0</v>
      </c>
    </row>
    <row r="19" spans="1:6">
      <c r="A19" s="3">
        <v>44927</v>
      </c>
      <c r="B19" s="3">
        <v>45046</v>
      </c>
      <c r="C19">
        <v>1302.01</v>
      </c>
      <c r="D19">
        <v>2571.29</v>
      </c>
      <c r="E19">
        <v>0.09</v>
      </c>
      <c r="F19">
        <v>19.53</v>
      </c>
    </row>
    <row r="20" spans="1:6">
      <c r="A20" s="3">
        <v>44927</v>
      </c>
      <c r="B20" s="3">
        <v>45046</v>
      </c>
      <c r="C20">
        <v>2571.3000000000002</v>
      </c>
      <c r="D20">
        <v>3856.94</v>
      </c>
      <c r="E20">
        <v>0.12</v>
      </c>
      <c r="F20">
        <v>96.67</v>
      </c>
    </row>
    <row r="21" spans="1:6">
      <c r="A21" s="3">
        <v>44927</v>
      </c>
      <c r="B21" s="3">
        <v>45046</v>
      </c>
      <c r="C21">
        <v>3856.95</v>
      </c>
      <c r="D21">
        <v>7507.49</v>
      </c>
      <c r="E21">
        <v>0.14000000000000001</v>
      </c>
      <c r="F21">
        <v>173.81</v>
      </c>
    </row>
    <row r="22" spans="1:6">
      <c r="A22" s="3">
        <v>44562</v>
      </c>
      <c r="B22" s="3">
        <v>44926</v>
      </c>
      <c r="C22">
        <v>0</v>
      </c>
      <c r="D22">
        <v>1212</v>
      </c>
      <c r="E22">
        <v>7.4999999999999997E-2</v>
      </c>
      <c r="F22">
        <v>0</v>
      </c>
    </row>
    <row r="23" spans="1:6">
      <c r="A23" s="3">
        <v>44562</v>
      </c>
      <c r="B23" s="3">
        <v>44926</v>
      </c>
      <c r="C23">
        <v>1212.01</v>
      </c>
      <c r="D23">
        <v>2427.35</v>
      </c>
      <c r="E23">
        <v>0.09</v>
      </c>
      <c r="F23">
        <v>18.18</v>
      </c>
    </row>
    <row r="24" spans="1:6">
      <c r="A24" s="3">
        <v>44562</v>
      </c>
      <c r="B24" s="3">
        <v>44926</v>
      </c>
      <c r="C24">
        <v>2427.36</v>
      </c>
      <c r="D24">
        <v>3641.03</v>
      </c>
      <c r="E24">
        <v>0.12</v>
      </c>
      <c r="F24">
        <v>91</v>
      </c>
    </row>
    <row r="25" spans="1:6">
      <c r="A25" s="3">
        <v>44562</v>
      </c>
      <c r="B25" s="3">
        <v>44926</v>
      </c>
      <c r="C25">
        <v>3641.04</v>
      </c>
      <c r="D25">
        <v>7087.22</v>
      </c>
      <c r="E25">
        <v>0.14000000000000001</v>
      </c>
      <c r="F25">
        <v>163.82</v>
      </c>
    </row>
    <row r="26" spans="1:6">
      <c r="A26" s="3">
        <v>44197</v>
      </c>
      <c r="B26" s="3">
        <v>44561</v>
      </c>
      <c r="C26">
        <v>0</v>
      </c>
      <c r="D26">
        <v>1100</v>
      </c>
      <c r="E26">
        <v>7.4999999999999997E-2</v>
      </c>
      <c r="F26">
        <v>0</v>
      </c>
    </row>
    <row r="27" spans="1:6">
      <c r="A27" s="3">
        <v>44197</v>
      </c>
      <c r="B27" s="3">
        <v>44561</v>
      </c>
      <c r="C27">
        <v>1100.01</v>
      </c>
      <c r="D27">
        <v>2203.48</v>
      </c>
      <c r="E27">
        <v>0.09</v>
      </c>
      <c r="F27">
        <v>16.5</v>
      </c>
    </row>
    <row r="28" spans="1:6">
      <c r="A28" s="3">
        <v>44197</v>
      </c>
      <c r="B28" s="3">
        <v>44561</v>
      </c>
      <c r="C28">
        <v>2203.4899999999998</v>
      </c>
      <c r="D28">
        <v>3305.22</v>
      </c>
      <c r="E28">
        <v>0.12</v>
      </c>
      <c r="F28">
        <v>82.6</v>
      </c>
    </row>
    <row r="29" spans="1:6">
      <c r="A29" s="3">
        <v>44197</v>
      </c>
      <c r="B29" s="3">
        <v>44561</v>
      </c>
      <c r="C29">
        <v>3305.23</v>
      </c>
      <c r="D29">
        <v>6433.57</v>
      </c>
      <c r="E29">
        <v>0.14000000000000001</v>
      </c>
      <c r="F29">
        <v>148.71</v>
      </c>
    </row>
    <row r="30" spans="1:6">
      <c r="A30" s="3">
        <v>43891</v>
      </c>
      <c r="B30" s="3">
        <v>44196</v>
      </c>
      <c r="C30">
        <v>0</v>
      </c>
      <c r="D30">
        <v>1045</v>
      </c>
      <c r="E30">
        <v>7.4999999999999997E-2</v>
      </c>
      <c r="F30">
        <v>0</v>
      </c>
    </row>
    <row r="31" spans="1:6">
      <c r="A31" s="3">
        <v>43891</v>
      </c>
      <c r="B31" s="3">
        <v>44196</v>
      </c>
      <c r="C31">
        <v>1045.01</v>
      </c>
      <c r="D31">
        <v>2089.6</v>
      </c>
      <c r="E31">
        <v>0.09</v>
      </c>
      <c r="F31">
        <v>15.67</v>
      </c>
    </row>
    <row r="32" spans="1:6">
      <c r="A32" s="3">
        <v>43891</v>
      </c>
      <c r="B32" s="3">
        <v>44196</v>
      </c>
      <c r="C32">
        <v>2089.61</v>
      </c>
      <c r="D32">
        <v>3134.4</v>
      </c>
      <c r="E32">
        <v>0.12</v>
      </c>
      <c r="F32">
        <v>78.36</v>
      </c>
    </row>
    <row r="33" spans="1:6">
      <c r="A33" s="3">
        <v>43891</v>
      </c>
      <c r="B33" s="3">
        <v>44196</v>
      </c>
      <c r="C33">
        <v>3134.41</v>
      </c>
      <c r="D33">
        <v>6101.06</v>
      </c>
      <c r="E33">
        <v>0.14000000000000001</v>
      </c>
      <c r="F33">
        <v>141.05000000000001</v>
      </c>
    </row>
    <row r="34" spans="1:6">
      <c r="A34" s="3">
        <v>43831</v>
      </c>
      <c r="B34" s="3">
        <v>43890</v>
      </c>
      <c r="C34">
        <v>0</v>
      </c>
      <c r="D34">
        <v>1830.29</v>
      </c>
      <c r="E34">
        <v>0.08</v>
      </c>
    </row>
    <row r="35" spans="1:6">
      <c r="A35" s="3">
        <v>43831</v>
      </c>
      <c r="B35" s="3">
        <v>43890</v>
      </c>
      <c r="C35">
        <v>1830.3</v>
      </c>
      <c r="D35">
        <v>3050.52</v>
      </c>
      <c r="E35">
        <v>0.09</v>
      </c>
    </row>
    <row r="36" spans="1:6">
      <c r="A36" s="3">
        <v>43831</v>
      </c>
      <c r="B36" s="3">
        <v>43890</v>
      </c>
      <c r="C36">
        <v>3050.53</v>
      </c>
      <c r="D36">
        <v>6101.06</v>
      </c>
      <c r="E36">
        <v>0.11</v>
      </c>
    </row>
    <row r="37" spans="1:6">
      <c r="A37" s="3">
        <v>43466</v>
      </c>
      <c r="B37" s="3">
        <v>43830</v>
      </c>
      <c r="C37">
        <v>0</v>
      </c>
      <c r="D37">
        <v>1751.81</v>
      </c>
      <c r="E37">
        <v>0.08</v>
      </c>
    </row>
    <row r="38" spans="1:6">
      <c r="A38" s="3">
        <v>43466</v>
      </c>
      <c r="B38" s="3">
        <v>43830</v>
      </c>
      <c r="C38">
        <v>1751.82</v>
      </c>
      <c r="D38">
        <v>2919.72</v>
      </c>
      <c r="E38">
        <v>0.09</v>
      </c>
    </row>
    <row r="39" spans="1:6">
      <c r="A39" s="3">
        <v>43466</v>
      </c>
      <c r="B39" s="3">
        <v>43830</v>
      </c>
      <c r="C39">
        <v>2919.73</v>
      </c>
      <c r="D39">
        <v>5839.45</v>
      </c>
      <c r="E39">
        <v>0.11</v>
      </c>
    </row>
    <row r="40" spans="1:6">
      <c r="A40" s="3">
        <v>43101</v>
      </c>
      <c r="B40" s="3">
        <v>43465</v>
      </c>
      <c r="C40">
        <v>0</v>
      </c>
      <c r="D40">
        <v>1693.72</v>
      </c>
      <c r="E40">
        <v>0.08</v>
      </c>
    </row>
    <row r="41" spans="1:6">
      <c r="A41" s="3">
        <v>43101</v>
      </c>
      <c r="B41" s="3">
        <v>43465</v>
      </c>
      <c r="C41">
        <v>1693.73</v>
      </c>
      <c r="D41">
        <v>2822.9</v>
      </c>
      <c r="E41">
        <v>0.09</v>
      </c>
    </row>
    <row r="42" spans="1:6">
      <c r="A42" s="3">
        <v>43101</v>
      </c>
      <c r="B42" s="3">
        <v>43465</v>
      </c>
      <c r="C42">
        <v>2822.91</v>
      </c>
      <c r="D42">
        <v>5645.8</v>
      </c>
      <c r="E42">
        <v>0.11</v>
      </c>
    </row>
    <row r="43" spans="1:6">
      <c r="A43" s="3">
        <v>42736</v>
      </c>
      <c r="B43" s="3">
        <v>43100</v>
      </c>
      <c r="C43">
        <v>0</v>
      </c>
      <c r="D43">
        <v>1659.38</v>
      </c>
      <c r="E43">
        <v>0.08</v>
      </c>
    </row>
    <row r="44" spans="1:6">
      <c r="A44" s="3">
        <v>42736</v>
      </c>
      <c r="B44" s="3">
        <v>43100</v>
      </c>
      <c r="C44">
        <v>1659.39</v>
      </c>
      <c r="D44">
        <v>2765.66</v>
      </c>
      <c r="E44">
        <v>0.09</v>
      </c>
    </row>
    <row r="45" spans="1:6">
      <c r="A45" s="3">
        <v>42736</v>
      </c>
      <c r="B45" s="3">
        <v>43100</v>
      </c>
      <c r="C45">
        <v>2765.67</v>
      </c>
      <c r="D45">
        <v>5531.31</v>
      </c>
      <c r="E45">
        <v>0.11</v>
      </c>
    </row>
    <row r="46" spans="1:6">
      <c r="A46" s="3">
        <v>42370</v>
      </c>
      <c r="B46" s="3">
        <v>42735</v>
      </c>
      <c r="C46">
        <v>0</v>
      </c>
      <c r="D46">
        <v>1556.94</v>
      </c>
      <c r="E46">
        <v>0.08</v>
      </c>
    </row>
    <row r="47" spans="1:6">
      <c r="A47" s="3">
        <v>42370</v>
      </c>
      <c r="B47" s="3">
        <v>42735</v>
      </c>
      <c r="C47">
        <v>1556.95</v>
      </c>
      <c r="D47">
        <v>2594.92</v>
      </c>
      <c r="E47">
        <v>0.09</v>
      </c>
    </row>
    <row r="48" spans="1:6">
      <c r="A48" s="3">
        <v>42370</v>
      </c>
      <c r="B48" s="3">
        <v>42735</v>
      </c>
      <c r="C48">
        <v>2594.9299999999998</v>
      </c>
      <c r="D48">
        <v>5189.82</v>
      </c>
      <c r="E48">
        <v>0.11</v>
      </c>
    </row>
    <row r="49" spans="1:5">
      <c r="A49" s="3">
        <v>42005</v>
      </c>
      <c r="B49" s="3">
        <v>42369</v>
      </c>
      <c r="C49">
        <v>0</v>
      </c>
      <c r="D49">
        <v>1399.12</v>
      </c>
      <c r="E49">
        <v>0.08</v>
      </c>
    </row>
    <row r="50" spans="1:5">
      <c r="A50" s="3">
        <v>42005</v>
      </c>
      <c r="B50" s="3">
        <v>42369</v>
      </c>
      <c r="C50">
        <v>1399.13</v>
      </c>
      <c r="D50">
        <v>2331.88</v>
      </c>
      <c r="E50">
        <v>0.09</v>
      </c>
    </row>
    <row r="51" spans="1:5">
      <c r="A51" s="3">
        <v>42005</v>
      </c>
      <c r="B51" s="3">
        <v>42369</v>
      </c>
      <c r="C51">
        <v>2331.89</v>
      </c>
      <c r="D51">
        <v>4663.75</v>
      </c>
      <c r="E51">
        <v>0.11</v>
      </c>
    </row>
    <row r="52" spans="1:5">
      <c r="A52" s="3">
        <v>41640</v>
      </c>
      <c r="B52" s="3">
        <v>42004</v>
      </c>
      <c r="C52">
        <v>0</v>
      </c>
      <c r="D52">
        <v>1317.07</v>
      </c>
      <c r="E52">
        <v>0.08</v>
      </c>
    </row>
    <row r="53" spans="1:5">
      <c r="A53" s="3">
        <v>41640</v>
      </c>
      <c r="B53" s="3">
        <v>42004</v>
      </c>
      <c r="C53">
        <v>1317.08</v>
      </c>
      <c r="D53">
        <v>2195.12</v>
      </c>
      <c r="E53">
        <v>0.09</v>
      </c>
    </row>
    <row r="54" spans="1:5">
      <c r="A54" s="3">
        <v>41640</v>
      </c>
      <c r="B54" s="3">
        <v>42004</v>
      </c>
      <c r="C54">
        <v>2195.13</v>
      </c>
      <c r="D54">
        <v>4390.24</v>
      </c>
      <c r="E54">
        <v>0.11</v>
      </c>
    </row>
    <row r="55" spans="1:5">
      <c r="A55" s="3">
        <v>41275</v>
      </c>
      <c r="B55" s="3">
        <v>41639</v>
      </c>
      <c r="C55">
        <v>0</v>
      </c>
      <c r="D55">
        <v>1247.7</v>
      </c>
      <c r="E55">
        <v>0.08</v>
      </c>
    </row>
    <row r="56" spans="1:5">
      <c r="A56" s="3">
        <v>41275</v>
      </c>
      <c r="B56" s="3">
        <v>41639</v>
      </c>
      <c r="C56">
        <v>1247.71</v>
      </c>
      <c r="D56">
        <v>2079.5</v>
      </c>
      <c r="E56">
        <v>0.09</v>
      </c>
    </row>
    <row r="57" spans="1:5">
      <c r="A57" s="3">
        <v>41275</v>
      </c>
      <c r="B57" s="3">
        <v>41639</v>
      </c>
      <c r="C57">
        <v>2079.5100000000002</v>
      </c>
      <c r="D57">
        <v>4159</v>
      </c>
      <c r="E57">
        <v>0.11</v>
      </c>
    </row>
    <row r="58" spans="1:5">
      <c r="A58" s="3">
        <v>40909</v>
      </c>
      <c r="B58" s="3">
        <v>41274</v>
      </c>
      <c r="C58">
        <v>0</v>
      </c>
      <c r="D58">
        <v>1174.8599999999999</v>
      </c>
      <c r="E58">
        <v>0.08</v>
      </c>
    </row>
    <row r="59" spans="1:5">
      <c r="A59" s="3">
        <v>40909</v>
      </c>
      <c r="B59" s="3">
        <v>41274</v>
      </c>
      <c r="C59">
        <v>1174.8699999999999</v>
      </c>
      <c r="D59">
        <v>1958.1</v>
      </c>
      <c r="E59">
        <v>0.09</v>
      </c>
    </row>
    <row r="60" spans="1:5">
      <c r="A60" s="3">
        <v>40909</v>
      </c>
      <c r="B60" s="3">
        <v>41274</v>
      </c>
      <c r="C60">
        <v>1958.11</v>
      </c>
      <c r="D60">
        <v>3916.2</v>
      </c>
      <c r="E60">
        <v>0.11</v>
      </c>
    </row>
    <row r="61" spans="1:5">
      <c r="A61" s="3">
        <v>40739</v>
      </c>
      <c r="B61" s="3">
        <v>40908</v>
      </c>
      <c r="C61">
        <v>0</v>
      </c>
      <c r="D61">
        <v>1107.52</v>
      </c>
      <c r="E61">
        <v>0.08</v>
      </c>
    </row>
    <row r="62" spans="1:5">
      <c r="A62" s="3">
        <v>40739</v>
      </c>
      <c r="B62" s="3">
        <v>40908</v>
      </c>
      <c r="C62">
        <v>1107.53</v>
      </c>
      <c r="D62">
        <v>1845.87</v>
      </c>
      <c r="E62">
        <v>0.09</v>
      </c>
    </row>
    <row r="63" spans="1:5">
      <c r="A63" s="3">
        <v>40739</v>
      </c>
      <c r="B63" s="3">
        <v>40908</v>
      </c>
      <c r="C63">
        <v>1845.88</v>
      </c>
      <c r="D63">
        <v>3691.74</v>
      </c>
      <c r="E63">
        <v>0.11</v>
      </c>
    </row>
    <row r="64" spans="1:5">
      <c r="A64" s="3">
        <v>40544</v>
      </c>
      <c r="B64" s="3">
        <v>40738</v>
      </c>
      <c r="C64">
        <v>0</v>
      </c>
      <c r="D64">
        <v>1106.9000000000001</v>
      </c>
      <c r="E64">
        <v>0.08</v>
      </c>
    </row>
    <row r="65" spans="1:5">
      <c r="A65" s="3">
        <v>40544</v>
      </c>
      <c r="B65" s="3">
        <v>40738</v>
      </c>
      <c r="C65">
        <v>1106.9100000000001</v>
      </c>
      <c r="D65">
        <v>1844.83</v>
      </c>
      <c r="E65">
        <v>0.09</v>
      </c>
    </row>
    <row r="66" spans="1:5">
      <c r="A66" s="3">
        <v>40544</v>
      </c>
      <c r="B66" s="3">
        <v>40738</v>
      </c>
      <c r="C66">
        <v>1844.84</v>
      </c>
      <c r="D66">
        <v>3689.66</v>
      </c>
      <c r="E66">
        <v>0.11</v>
      </c>
    </row>
    <row r="67" spans="1:5">
      <c r="A67" s="3">
        <v>40179</v>
      </c>
      <c r="B67" s="3">
        <v>40543</v>
      </c>
      <c r="C67">
        <v>0</v>
      </c>
      <c r="D67">
        <v>1040.22</v>
      </c>
      <c r="E67">
        <v>0.08</v>
      </c>
    </row>
    <row r="68" spans="1:5">
      <c r="A68" s="3">
        <v>40179</v>
      </c>
      <c r="B68" s="3">
        <v>40543</v>
      </c>
      <c r="C68">
        <v>1040.23</v>
      </c>
      <c r="D68">
        <v>1733.7</v>
      </c>
      <c r="E68">
        <v>0.09</v>
      </c>
    </row>
    <row r="69" spans="1:5">
      <c r="A69" s="3">
        <v>40179</v>
      </c>
      <c r="B69" s="3">
        <v>40543</v>
      </c>
      <c r="C69">
        <v>1733.71</v>
      </c>
      <c r="D69">
        <v>3467.4</v>
      </c>
      <c r="E69">
        <v>0.11</v>
      </c>
    </row>
    <row r="70" spans="1:5">
      <c r="A70" s="3">
        <v>39845</v>
      </c>
      <c r="B70" s="3">
        <v>40178</v>
      </c>
      <c r="C70">
        <v>0</v>
      </c>
      <c r="D70">
        <v>965.67</v>
      </c>
      <c r="E70">
        <v>0.08</v>
      </c>
    </row>
    <row r="71" spans="1:5">
      <c r="A71" s="3">
        <v>39845</v>
      </c>
      <c r="B71" s="3">
        <v>40178</v>
      </c>
      <c r="C71">
        <v>965.68</v>
      </c>
      <c r="D71">
        <v>1609.45</v>
      </c>
      <c r="E71">
        <v>0.09</v>
      </c>
    </row>
    <row r="72" spans="1:5">
      <c r="A72" s="3">
        <v>39845</v>
      </c>
      <c r="B72" s="3">
        <v>40178</v>
      </c>
      <c r="C72">
        <v>1609.46</v>
      </c>
      <c r="D72">
        <v>3218.9</v>
      </c>
      <c r="E72">
        <v>0.11</v>
      </c>
    </row>
    <row r="73" spans="1:5">
      <c r="A73" s="3">
        <v>39508</v>
      </c>
      <c r="B73" s="3">
        <v>39844</v>
      </c>
      <c r="C73">
        <v>0</v>
      </c>
      <c r="D73">
        <v>911.7</v>
      </c>
      <c r="E73">
        <v>0.08</v>
      </c>
    </row>
    <row r="74" spans="1:5">
      <c r="A74" s="3">
        <v>39508</v>
      </c>
      <c r="B74" s="3">
        <v>39844</v>
      </c>
      <c r="C74">
        <v>911.71</v>
      </c>
      <c r="D74">
        <v>1519.5</v>
      </c>
      <c r="E74">
        <v>0.09</v>
      </c>
    </row>
    <row r="75" spans="1:5">
      <c r="A75" s="3">
        <v>39508</v>
      </c>
      <c r="B75" s="3">
        <v>39844</v>
      </c>
      <c r="C75">
        <v>1519.51</v>
      </c>
      <c r="D75">
        <v>3038.99</v>
      </c>
      <c r="E75">
        <v>0.11</v>
      </c>
    </row>
    <row r="76" spans="1:5">
      <c r="A76" s="3">
        <v>39448</v>
      </c>
      <c r="B76" s="3">
        <v>39507</v>
      </c>
      <c r="C76">
        <v>0</v>
      </c>
      <c r="D76">
        <v>868.29</v>
      </c>
      <c r="E76">
        <v>0.08</v>
      </c>
    </row>
    <row r="77" spans="1:5">
      <c r="A77" s="3">
        <v>39448</v>
      </c>
      <c r="B77" s="3">
        <v>39507</v>
      </c>
      <c r="C77">
        <v>868.3</v>
      </c>
      <c r="D77">
        <v>1447.14</v>
      </c>
      <c r="E77">
        <v>0.09</v>
      </c>
    </row>
    <row r="78" spans="1:5">
      <c r="A78" s="3">
        <v>39448</v>
      </c>
      <c r="B78" s="3">
        <v>39507</v>
      </c>
      <c r="C78">
        <v>1447.15</v>
      </c>
      <c r="D78">
        <v>2894.28</v>
      </c>
      <c r="E78">
        <v>0.11</v>
      </c>
    </row>
    <row r="79" spans="1:5">
      <c r="A79" s="3">
        <v>39173</v>
      </c>
      <c r="B79" s="3">
        <v>39447</v>
      </c>
      <c r="C79">
        <v>0</v>
      </c>
      <c r="D79">
        <v>868.29</v>
      </c>
      <c r="E79">
        <v>7.6499999999999999E-2</v>
      </c>
    </row>
    <row r="80" spans="1:5">
      <c r="A80" s="3">
        <v>39173</v>
      </c>
      <c r="B80" s="3">
        <v>39447</v>
      </c>
      <c r="C80">
        <v>868.3</v>
      </c>
      <c r="D80">
        <v>1140</v>
      </c>
      <c r="E80">
        <v>8.6499999999999994E-2</v>
      </c>
    </row>
    <row r="81" spans="1:5">
      <c r="A81" s="3">
        <v>39173</v>
      </c>
      <c r="B81" s="3">
        <v>39447</v>
      </c>
      <c r="C81">
        <v>1140.01</v>
      </c>
      <c r="D81">
        <v>1447.14</v>
      </c>
      <c r="E81">
        <v>0.09</v>
      </c>
    </row>
    <row r="82" spans="1:5">
      <c r="A82" s="3">
        <v>39173</v>
      </c>
      <c r="B82" s="3">
        <v>39447</v>
      </c>
      <c r="C82">
        <v>1447.15</v>
      </c>
      <c r="D82">
        <v>2894.28</v>
      </c>
      <c r="E82">
        <v>0.11</v>
      </c>
    </row>
    <row r="83" spans="1:5">
      <c r="A83" s="3">
        <v>38930</v>
      </c>
      <c r="B83" s="3">
        <v>39172</v>
      </c>
      <c r="C83">
        <v>0</v>
      </c>
      <c r="D83">
        <v>840.55</v>
      </c>
      <c r="E83">
        <v>7.6499999999999999E-2</v>
      </c>
    </row>
    <row r="84" spans="1:5">
      <c r="A84" s="3">
        <v>38930</v>
      </c>
      <c r="B84" s="3">
        <v>39172</v>
      </c>
      <c r="C84">
        <v>840.56</v>
      </c>
      <c r="D84">
        <v>1050</v>
      </c>
      <c r="E84">
        <v>8.6499999999999994E-2</v>
      </c>
    </row>
    <row r="85" spans="1:5">
      <c r="A85" s="3">
        <v>38930</v>
      </c>
      <c r="B85" s="3">
        <v>39172</v>
      </c>
      <c r="C85">
        <v>1050.01</v>
      </c>
      <c r="D85">
        <v>1400.91</v>
      </c>
      <c r="E85">
        <v>0.09</v>
      </c>
    </row>
    <row r="86" spans="1:5">
      <c r="A86" s="3">
        <v>38930</v>
      </c>
      <c r="B86" s="3">
        <v>39172</v>
      </c>
      <c r="C86">
        <v>1400.92</v>
      </c>
      <c r="D86">
        <v>2801.82</v>
      </c>
      <c r="E86">
        <v>0.11</v>
      </c>
    </row>
    <row r="87" spans="1:5">
      <c r="A87" s="3">
        <v>38808</v>
      </c>
      <c r="B87" s="3">
        <v>38929</v>
      </c>
      <c r="C87">
        <v>0</v>
      </c>
      <c r="D87">
        <v>840.47</v>
      </c>
      <c r="E87">
        <v>7.6499999999999999E-2</v>
      </c>
    </row>
    <row r="88" spans="1:5">
      <c r="A88" s="3">
        <v>38808</v>
      </c>
      <c r="B88" s="3">
        <v>38929</v>
      </c>
      <c r="C88">
        <v>840.47</v>
      </c>
      <c r="D88">
        <v>1050</v>
      </c>
      <c r="E88">
        <v>8.6499999999999994E-2</v>
      </c>
    </row>
    <row r="89" spans="1:5">
      <c r="A89" s="3">
        <v>38808</v>
      </c>
      <c r="B89" s="3">
        <v>38929</v>
      </c>
      <c r="C89">
        <v>1050.01</v>
      </c>
      <c r="D89">
        <v>1400.77</v>
      </c>
      <c r="E89">
        <v>0.09</v>
      </c>
    </row>
    <row r="90" spans="1:5">
      <c r="A90" s="3">
        <v>38808</v>
      </c>
      <c r="B90" s="3">
        <v>38929</v>
      </c>
      <c r="C90">
        <v>1400.78</v>
      </c>
      <c r="D90">
        <v>2801.56</v>
      </c>
      <c r="E90">
        <v>0.11</v>
      </c>
    </row>
    <row r="91" spans="1:5">
      <c r="A91" s="3">
        <v>38473</v>
      </c>
      <c r="B91" s="3">
        <v>38807</v>
      </c>
      <c r="C91">
        <v>0</v>
      </c>
      <c r="D91">
        <v>800.45</v>
      </c>
      <c r="E91">
        <v>7.6499999999999999E-2</v>
      </c>
    </row>
    <row r="92" spans="1:5">
      <c r="A92" s="3">
        <v>38473</v>
      </c>
      <c r="B92" s="3">
        <v>38807</v>
      </c>
      <c r="C92">
        <v>800.46</v>
      </c>
      <c r="D92">
        <v>900</v>
      </c>
      <c r="E92">
        <v>8.6499999999999994E-2</v>
      </c>
    </row>
    <row r="93" spans="1:5">
      <c r="A93" s="3">
        <v>38473</v>
      </c>
      <c r="B93" s="3">
        <v>38807</v>
      </c>
      <c r="C93">
        <v>900.01</v>
      </c>
      <c r="D93">
        <v>1334.07</v>
      </c>
      <c r="E93">
        <v>0.09</v>
      </c>
    </row>
    <row r="94" spans="1:5">
      <c r="A94" s="3">
        <v>38473</v>
      </c>
      <c r="B94" s="3">
        <v>38807</v>
      </c>
      <c r="C94">
        <v>1334.08</v>
      </c>
      <c r="D94">
        <v>2668.15</v>
      </c>
      <c r="E94">
        <v>0.11</v>
      </c>
    </row>
    <row r="95" spans="1:5">
      <c r="A95" s="3">
        <v>38108</v>
      </c>
      <c r="B95" s="3">
        <v>38472</v>
      </c>
      <c r="C95">
        <v>0</v>
      </c>
      <c r="D95">
        <v>752.62</v>
      </c>
      <c r="E95">
        <v>7.6499999999999999E-2</v>
      </c>
    </row>
    <row r="96" spans="1:5">
      <c r="A96" s="3">
        <v>38108</v>
      </c>
      <c r="B96" s="3">
        <v>38472</v>
      </c>
      <c r="C96">
        <v>752.63</v>
      </c>
      <c r="D96">
        <v>780</v>
      </c>
      <c r="E96">
        <v>8.6499999999999994E-2</v>
      </c>
    </row>
    <row r="97" spans="1:5">
      <c r="A97" s="3">
        <v>38108</v>
      </c>
      <c r="B97" s="3">
        <v>38472</v>
      </c>
      <c r="C97">
        <v>780.01</v>
      </c>
      <c r="D97">
        <v>1254.3599999999999</v>
      </c>
      <c r="E97">
        <v>0.09</v>
      </c>
    </row>
    <row r="98" spans="1:5">
      <c r="A98" s="3">
        <v>38108</v>
      </c>
      <c r="B98" s="3">
        <v>38472</v>
      </c>
      <c r="C98">
        <v>1254.3699999999999</v>
      </c>
      <c r="D98">
        <v>2508.7199999999998</v>
      </c>
      <c r="E98">
        <v>0.11</v>
      </c>
    </row>
    <row r="99" spans="1:5">
      <c r="A99" s="3">
        <v>37987</v>
      </c>
      <c r="B99" s="3">
        <v>38107</v>
      </c>
      <c r="C99">
        <v>0</v>
      </c>
      <c r="D99">
        <v>720</v>
      </c>
      <c r="E99">
        <v>7.6499999999999999E-2</v>
      </c>
    </row>
    <row r="100" spans="1:5">
      <c r="A100" s="3">
        <v>37987</v>
      </c>
      <c r="B100" s="3">
        <v>38107</v>
      </c>
      <c r="C100">
        <v>720.01</v>
      </c>
      <c r="D100">
        <v>1200</v>
      </c>
      <c r="E100">
        <v>0.09</v>
      </c>
    </row>
    <row r="101" spans="1:5">
      <c r="A101" s="3">
        <v>37987</v>
      </c>
      <c r="B101" s="3">
        <v>38107</v>
      </c>
      <c r="C101">
        <v>1200.01</v>
      </c>
      <c r="D101">
        <v>2400</v>
      </c>
      <c r="E101">
        <v>0.11</v>
      </c>
    </row>
    <row r="102" spans="1:5">
      <c r="A102" s="3">
        <v>37773</v>
      </c>
      <c r="B102" s="3">
        <v>37986</v>
      </c>
      <c r="C102">
        <v>0</v>
      </c>
      <c r="D102">
        <v>560.80999999999995</v>
      </c>
      <c r="E102">
        <v>7.6499999999999999E-2</v>
      </c>
    </row>
    <row r="103" spans="1:5">
      <c r="A103" s="3">
        <v>37773</v>
      </c>
      <c r="B103" s="3">
        <v>37986</v>
      </c>
      <c r="C103">
        <v>560.82000000000005</v>
      </c>
      <c r="D103">
        <v>720</v>
      </c>
      <c r="E103">
        <v>8.6499999999999994E-2</v>
      </c>
    </row>
    <row r="104" spans="1:5">
      <c r="A104" s="3">
        <v>37773</v>
      </c>
      <c r="B104" s="3">
        <v>37986</v>
      </c>
      <c r="C104">
        <v>720.01</v>
      </c>
      <c r="D104">
        <v>934.67</v>
      </c>
      <c r="E104">
        <v>0.09</v>
      </c>
    </row>
    <row r="105" spans="1:5">
      <c r="A105" s="3">
        <v>37773</v>
      </c>
      <c r="B105" s="3">
        <v>37986</v>
      </c>
      <c r="C105">
        <v>934.68</v>
      </c>
      <c r="D105">
        <v>1869.34</v>
      </c>
      <c r="E105">
        <v>0.11</v>
      </c>
    </row>
    <row r="106" spans="1:5">
      <c r="A106" s="3">
        <v>37408</v>
      </c>
      <c r="B106" s="3">
        <v>37772</v>
      </c>
      <c r="C106">
        <v>0</v>
      </c>
      <c r="D106">
        <v>468.47</v>
      </c>
      <c r="E106">
        <v>7.6499999999999999E-2</v>
      </c>
    </row>
    <row r="107" spans="1:5">
      <c r="A107" s="3">
        <v>37408</v>
      </c>
      <c r="B107" s="3">
        <v>37772</v>
      </c>
      <c r="C107">
        <v>468.48</v>
      </c>
      <c r="D107">
        <v>600</v>
      </c>
      <c r="E107">
        <v>8.6499999999999994E-2</v>
      </c>
    </row>
    <row r="108" spans="1:5">
      <c r="A108" s="3">
        <v>37408</v>
      </c>
      <c r="B108" s="3">
        <v>37772</v>
      </c>
      <c r="C108">
        <v>600.01</v>
      </c>
      <c r="D108">
        <v>780.78</v>
      </c>
      <c r="E108">
        <v>0.09</v>
      </c>
    </row>
    <row r="109" spans="1:5">
      <c r="A109" s="3">
        <v>37408</v>
      </c>
      <c r="B109" s="3">
        <v>37772</v>
      </c>
      <c r="C109">
        <v>780.79</v>
      </c>
      <c r="D109">
        <v>1561.56</v>
      </c>
      <c r="E109">
        <v>0.11</v>
      </c>
    </row>
    <row r="110" spans="1:5">
      <c r="A110" s="3">
        <v>37043</v>
      </c>
      <c r="B110" s="3">
        <v>37407</v>
      </c>
      <c r="C110">
        <v>0</v>
      </c>
      <c r="D110">
        <v>429</v>
      </c>
      <c r="E110">
        <v>7.6499999999999999E-2</v>
      </c>
    </row>
    <row r="111" spans="1:5">
      <c r="A111" s="3">
        <v>37043</v>
      </c>
      <c r="B111" s="3">
        <v>37407</v>
      </c>
      <c r="C111">
        <v>429.01</v>
      </c>
      <c r="D111">
        <v>540</v>
      </c>
      <c r="E111">
        <v>8.6499999999999994E-2</v>
      </c>
    </row>
    <row r="112" spans="1:5">
      <c r="A112" s="3">
        <v>37043</v>
      </c>
      <c r="B112" s="3">
        <v>37407</v>
      </c>
      <c r="C112">
        <v>540.01</v>
      </c>
      <c r="D112">
        <v>715</v>
      </c>
      <c r="E112">
        <v>0.09</v>
      </c>
    </row>
    <row r="113" spans="1:5">
      <c r="A113" s="3">
        <v>37043</v>
      </c>
      <c r="B113" s="3">
        <v>37407</v>
      </c>
      <c r="C113">
        <v>715.01</v>
      </c>
      <c r="D113">
        <v>1430</v>
      </c>
      <c r="E113">
        <v>0.11</v>
      </c>
    </row>
    <row r="114" spans="1:5">
      <c r="A114" s="3">
        <v>36982</v>
      </c>
      <c r="B114" s="3">
        <v>37042</v>
      </c>
      <c r="C114">
        <v>0</v>
      </c>
      <c r="D114">
        <v>398.48</v>
      </c>
      <c r="E114">
        <v>7.6499999999999999E-2</v>
      </c>
    </row>
    <row r="115" spans="1:5">
      <c r="A115" s="3">
        <v>36982</v>
      </c>
      <c r="B115" s="3">
        <v>37042</v>
      </c>
      <c r="C115">
        <v>398.49</v>
      </c>
      <c r="D115">
        <v>540</v>
      </c>
      <c r="E115">
        <v>8.6499999999999994E-2</v>
      </c>
    </row>
    <row r="116" spans="1:5">
      <c r="A116" s="3">
        <v>36982</v>
      </c>
      <c r="B116" s="3">
        <v>37042</v>
      </c>
      <c r="C116">
        <v>540.01</v>
      </c>
      <c r="D116">
        <v>664.13</v>
      </c>
      <c r="E116">
        <v>0.09</v>
      </c>
    </row>
    <row r="117" spans="1:5">
      <c r="A117" s="3">
        <v>36982</v>
      </c>
      <c r="B117" s="3">
        <v>37042</v>
      </c>
      <c r="C117">
        <v>664.14</v>
      </c>
      <c r="D117">
        <v>1328.25</v>
      </c>
      <c r="E117">
        <v>0.11</v>
      </c>
    </row>
    <row r="118" spans="1:5">
      <c r="A118" s="3">
        <v>36951</v>
      </c>
      <c r="B118" s="3">
        <v>36981</v>
      </c>
      <c r="C118">
        <v>0</v>
      </c>
      <c r="D118">
        <v>398.48</v>
      </c>
      <c r="E118">
        <v>7.6499999999999999E-2</v>
      </c>
    </row>
    <row r="119" spans="1:5">
      <c r="A119" s="3">
        <v>36951</v>
      </c>
      <c r="B119" s="3">
        <v>36981</v>
      </c>
      <c r="C119">
        <v>398.49</v>
      </c>
      <c r="D119">
        <v>453</v>
      </c>
      <c r="E119">
        <v>8.6499999999999994E-2</v>
      </c>
    </row>
    <row r="120" spans="1:5">
      <c r="A120" s="3">
        <v>36951</v>
      </c>
      <c r="B120" s="3">
        <v>36981</v>
      </c>
      <c r="C120">
        <v>453.01</v>
      </c>
      <c r="D120">
        <v>664.13</v>
      </c>
      <c r="E120">
        <v>0.09</v>
      </c>
    </row>
    <row r="121" spans="1:5">
      <c r="A121" s="3">
        <v>36951</v>
      </c>
      <c r="B121" s="3">
        <v>36981</v>
      </c>
      <c r="C121">
        <v>664.14</v>
      </c>
      <c r="D121">
        <v>1328.25</v>
      </c>
      <c r="E121">
        <v>0.11</v>
      </c>
    </row>
    <row r="122" spans="1:5">
      <c r="A122" s="3">
        <v>36678</v>
      </c>
      <c r="B122" s="3">
        <v>36950</v>
      </c>
      <c r="C122">
        <v>0</v>
      </c>
      <c r="D122">
        <v>398.48</v>
      </c>
      <c r="E122">
        <v>7.7200000000000005E-2</v>
      </c>
    </row>
    <row r="123" spans="1:5">
      <c r="A123" s="3">
        <v>36678</v>
      </c>
      <c r="B123" s="3">
        <v>36950</v>
      </c>
      <c r="C123">
        <v>398.49</v>
      </c>
      <c r="D123">
        <v>453</v>
      </c>
      <c r="E123">
        <v>8.7300000000000003E-2</v>
      </c>
    </row>
    <row r="124" spans="1:5">
      <c r="A124" s="3">
        <v>36678</v>
      </c>
      <c r="B124" s="3">
        <v>36950</v>
      </c>
      <c r="C124">
        <v>453.01</v>
      </c>
      <c r="D124">
        <v>664.13</v>
      </c>
      <c r="E124">
        <v>0.09</v>
      </c>
    </row>
    <row r="125" spans="1:5">
      <c r="A125" s="3">
        <v>36678</v>
      </c>
      <c r="B125" s="3">
        <v>36950</v>
      </c>
      <c r="C125">
        <v>664.14</v>
      </c>
      <c r="D125">
        <v>1328.25</v>
      </c>
      <c r="E125">
        <v>0.11</v>
      </c>
    </row>
    <row r="126" spans="1:5">
      <c r="A126" s="3">
        <v>36312</v>
      </c>
      <c r="B126" s="3">
        <v>36677</v>
      </c>
      <c r="C126">
        <v>0</v>
      </c>
      <c r="D126">
        <v>376.6</v>
      </c>
      <c r="E126">
        <v>7.6499999999999999E-2</v>
      </c>
    </row>
    <row r="127" spans="1:5">
      <c r="A127" s="3">
        <v>36312</v>
      </c>
      <c r="B127" s="3">
        <v>36677</v>
      </c>
      <c r="C127">
        <v>376.61</v>
      </c>
      <c r="D127">
        <v>408</v>
      </c>
      <c r="E127">
        <v>8.6499999999999994E-2</v>
      </c>
    </row>
    <row r="128" spans="1:5">
      <c r="A128" s="3">
        <v>36312</v>
      </c>
      <c r="B128" s="3">
        <v>36677</v>
      </c>
      <c r="C128">
        <v>408.01</v>
      </c>
      <c r="D128">
        <v>627.66</v>
      </c>
      <c r="E128">
        <v>0.09</v>
      </c>
    </row>
    <row r="129" spans="1:5">
      <c r="A129" s="3">
        <v>36312</v>
      </c>
      <c r="B129" s="3">
        <v>36677</v>
      </c>
      <c r="C129">
        <v>627.66999999999996</v>
      </c>
      <c r="D129">
        <v>1255.32</v>
      </c>
      <c r="E129">
        <v>0.11</v>
      </c>
    </row>
    <row r="130" spans="1:5">
      <c r="A130" s="3">
        <v>36161</v>
      </c>
      <c r="B130" s="3">
        <v>36311</v>
      </c>
      <c r="C130">
        <v>0</v>
      </c>
      <c r="D130">
        <v>360</v>
      </c>
      <c r="E130">
        <v>0.08</v>
      </c>
    </row>
    <row r="131" spans="1:5">
      <c r="A131" s="3">
        <v>36161</v>
      </c>
      <c r="B131" s="3">
        <v>36311</v>
      </c>
      <c r="C131">
        <v>360.01</v>
      </c>
      <c r="D131">
        <v>600</v>
      </c>
      <c r="E131">
        <v>0.09</v>
      </c>
    </row>
    <row r="132" spans="1:5">
      <c r="A132" s="3">
        <v>36161</v>
      </c>
      <c r="B132" s="3">
        <v>36311</v>
      </c>
      <c r="C132">
        <v>600.01</v>
      </c>
      <c r="D132">
        <v>1200</v>
      </c>
      <c r="E132">
        <v>0.11</v>
      </c>
    </row>
    <row r="133" spans="1:5">
      <c r="A133" s="3">
        <v>36130</v>
      </c>
      <c r="B133" s="3">
        <v>36160</v>
      </c>
      <c r="C133">
        <v>0</v>
      </c>
      <c r="D133">
        <v>360</v>
      </c>
      <c r="E133">
        <v>7.8200000000000006E-2</v>
      </c>
    </row>
    <row r="134" spans="1:5">
      <c r="A134" s="3">
        <v>36130</v>
      </c>
      <c r="B134" s="3">
        <v>36160</v>
      </c>
      <c r="C134">
        <v>360.01</v>
      </c>
      <c r="D134">
        <v>390</v>
      </c>
      <c r="E134">
        <v>8.8200000000000001E-2</v>
      </c>
    </row>
    <row r="135" spans="1:5">
      <c r="A135" s="3">
        <v>36130</v>
      </c>
      <c r="B135" s="3">
        <v>36160</v>
      </c>
      <c r="C135">
        <v>390.01</v>
      </c>
      <c r="D135">
        <v>600</v>
      </c>
      <c r="E135">
        <v>0.09</v>
      </c>
    </row>
    <row r="136" spans="1:5">
      <c r="A136" s="3">
        <v>36130</v>
      </c>
      <c r="B136" s="3">
        <v>36160</v>
      </c>
      <c r="C136">
        <v>600.01</v>
      </c>
      <c r="D136">
        <v>1200</v>
      </c>
      <c r="E136">
        <v>0.11</v>
      </c>
    </row>
    <row r="137" spans="1:5">
      <c r="A137" s="3">
        <v>35947</v>
      </c>
      <c r="B137" s="3">
        <v>36129</v>
      </c>
      <c r="C137">
        <v>0</v>
      </c>
      <c r="D137">
        <v>324.45</v>
      </c>
      <c r="E137">
        <v>7.8200000000000006E-2</v>
      </c>
    </row>
    <row r="138" spans="1:5">
      <c r="A138" s="3">
        <v>35947</v>
      </c>
      <c r="B138" s="3">
        <v>36129</v>
      </c>
      <c r="C138">
        <v>324.45999999999998</v>
      </c>
      <c r="D138">
        <v>390</v>
      </c>
      <c r="E138">
        <v>8.8200000000000001E-2</v>
      </c>
    </row>
    <row r="139" spans="1:5">
      <c r="A139" s="3">
        <v>35947</v>
      </c>
      <c r="B139" s="3">
        <v>36129</v>
      </c>
      <c r="C139">
        <v>390.01</v>
      </c>
      <c r="D139">
        <v>540.75</v>
      </c>
      <c r="E139">
        <v>0.09</v>
      </c>
    </row>
    <row r="140" spans="1:5">
      <c r="A140" s="3">
        <v>35947</v>
      </c>
      <c r="B140" s="3">
        <v>36129</v>
      </c>
      <c r="C140">
        <v>540.76</v>
      </c>
      <c r="D140">
        <v>1081.5</v>
      </c>
      <c r="E140">
        <v>0.11</v>
      </c>
    </row>
    <row r="141" spans="1:5">
      <c r="A141" s="3">
        <v>35582</v>
      </c>
      <c r="B141" s="3">
        <v>35946</v>
      </c>
      <c r="C141">
        <v>0</v>
      </c>
      <c r="D141">
        <v>309.56</v>
      </c>
      <c r="E141">
        <v>7.8200000000000006E-2</v>
      </c>
    </row>
    <row r="142" spans="1:5">
      <c r="A142" s="3">
        <v>35582</v>
      </c>
      <c r="B142" s="3">
        <v>35946</v>
      </c>
      <c r="C142">
        <v>309.57</v>
      </c>
      <c r="D142">
        <v>360</v>
      </c>
      <c r="E142">
        <v>8.8200000000000001E-2</v>
      </c>
    </row>
    <row r="143" spans="1:5">
      <c r="A143" s="3">
        <v>35582</v>
      </c>
      <c r="B143" s="3">
        <v>35946</v>
      </c>
      <c r="C143">
        <v>360.01</v>
      </c>
      <c r="D143">
        <v>515.92999999999995</v>
      </c>
      <c r="E143">
        <v>0.09</v>
      </c>
    </row>
    <row r="144" spans="1:5">
      <c r="A144" s="3">
        <v>35582</v>
      </c>
      <c r="B144" s="3">
        <v>35946</v>
      </c>
      <c r="C144">
        <v>515.94000000000005</v>
      </c>
      <c r="D144">
        <v>1031.8699999999999</v>
      </c>
      <c r="E144">
        <v>0.11</v>
      </c>
    </row>
    <row r="145" spans="1:5">
      <c r="A145" s="3">
        <v>35431</v>
      </c>
      <c r="B145" s="3">
        <v>35581</v>
      </c>
      <c r="C145">
        <v>0</v>
      </c>
      <c r="D145">
        <v>287.27</v>
      </c>
      <c r="E145">
        <v>7.8200000000000006E-2</v>
      </c>
    </row>
    <row r="146" spans="1:5">
      <c r="A146" s="3">
        <v>35431</v>
      </c>
      <c r="B146" s="3">
        <v>35581</v>
      </c>
      <c r="C146">
        <v>287.27999999999997</v>
      </c>
      <c r="D146">
        <v>336</v>
      </c>
      <c r="E146">
        <v>8.8200000000000001E-2</v>
      </c>
    </row>
    <row r="147" spans="1:5">
      <c r="A147" s="3">
        <v>35431</v>
      </c>
      <c r="B147" s="3">
        <v>35581</v>
      </c>
      <c r="C147">
        <v>336.01</v>
      </c>
      <c r="D147">
        <v>478.78</v>
      </c>
      <c r="E147">
        <v>0.09</v>
      </c>
    </row>
    <row r="148" spans="1:5">
      <c r="A148" s="3">
        <v>35431</v>
      </c>
      <c r="B148" s="3">
        <v>35581</v>
      </c>
      <c r="C148">
        <v>478.79</v>
      </c>
      <c r="D148">
        <v>957.56</v>
      </c>
      <c r="E148">
        <v>0.11</v>
      </c>
    </row>
    <row r="149" spans="1:5">
      <c r="A149" s="3">
        <v>35186</v>
      </c>
      <c r="B149" s="3">
        <v>35430</v>
      </c>
      <c r="C149">
        <v>0</v>
      </c>
      <c r="D149">
        <v>287.27</v>
      </c>
      <c r="E149">
        <v>0.08</v>
      </c>
    </row>
    <row r="150" spans="1:5">
      <c r="A150" s="3">
        <v>35186</v>
      </c>
      <c r="B150" s="3">
        <v>35430</v>
      </c>
      <c r="C150">
        <v>287.27999999999997</v>
      </c>
      <c r="D150">
        <v>478.78</v>
      </c>
      <c r="E150">
        <v>0.09</v>
      </c>
    </row>
    <row r="151" spans="1:5">
      <c r="A151" s="3">
        <v>35186</v>
      </c>
      <c r="B151" s="3">
        <v>35430</v>
      </c>
      <c r="C151">
        <v>478.79</v>
      </c>
      <c r="D151">
        <v>957.56</v>
      </c>
      <c r="E151">
        <v>0.11</v>
      </c>
    </row>
    <row r="152" spans="1:5">
      <c r="A152" s="3">
        <v>34912</v>
      </c>
      <c r="B152" s="3">
        <v>35185</v>
      </c>
      <c r="C152">
        <v>0</v>
      </c>
      <c r="D152">
        <v>249.8</v>
      </c>
      <c r="E152">
        <v>0.08</v>
      </c>
    </row>
    <row r="153" spans="1:5">
      <c r="A153" s="3">
        <v>34912</v>
      </c>
      <c r="B153" s="3">
        <v>35185</v>
      </c>
      <c r="C153">
        <v>249.81</v>
      </c>
      <c r="D153">
        <v>416.33</v>
      </c>
      <c r="E153">
        <v>0.09</v>
      </c>
    </row>
    <row r="154" spans="1:5">
      <c r="A154" s="3">
        <v>34912</v>
      </c>
      <c r="B154" s="3">
        <v>35185</v>
      </c>
      <c r="C154">
        <v>416.34</v>
      </c>
      <c r="D154">
        <v>832.66</v>
      </c>
      <c r="E154">
        <v>0.11</v>
      </c>
    </row>
    <row r="155" spans="1:5">
      <c r="A155" s="3">
        <v>34820</v>
      </c>
      <c r="B155" s="3">
        <v>34911</v>
      </c>
      <c r="C155">
        <v>0</v>
      </c>
      <c r="D155">
        <v>249.8</v>
      </c>
      <c r="E155">
        <v>0.08</v>
      </c>
    </row>
    <row r="156" spans="1:5">
      <c r="A156" s="3">
        <v>34820</v>
      </c>
      <c r="B156" s="3">
        <v>34911</v>
      </c>
      <c r="C156">
        <v>249.81</v>
      </c>
      <c r="D156">
        <v>416.33</v>
      </c>
      <c r="E156">
        <v>0.09</v>
      </c>
    </row>
    <row r="157" spans="1:5">
      <c r="A157" s="3">
        <v>34820</v>
      </c>
      <c r="B157" s="3">
        <v>34911</v>
      </c>
      <c r="C157">
        <v>416.34</v>
      </c>
      <c r="D157">
        <v>832.66</v>
      </c>
      <c r="E157">
        <v>0.1</v>
      </c>
    </row>
    <row r="158" spans="1:5">
      <c r="A158" s="3">
        <v>34700</v>
      </c>
      <c r="B158" s="3">
        <v>34819</v>
      </c>
      <c r="C158">
        <v>0</v>
      </c>
      <c r="D158">
        <v>174.86</v>
      </c>
      <c r="E158">
        <v>0.08</v>
      </c>
    </row>
    <row r="159" spans="1:5">
      <c r="A159" s="3">
        <v>34700</v>
      </c>
      <c r="B159" s="3">
        <v>34819</v>
      </c>
      <c r="C159">
        <v>174.87</v>
      </c>
      <c r="D159">
        <v>291.43</v>
      </c>
      <c r="E159">
        <v>0.09</v>
      </c>
    </row>
    <row r="160" spans="1:5">
      <c r="A160" s="3">
        <v>34700</v>
      </c>
      <c r="B160" s="3">
        <v>34819</v>
      </c>
      <c r="C160">
        <v>291.44</v>
      </c>
      <c r="D160">
        <v>582.86</v>
      </c>
      <c r="E160">
        <v>0.1</v>
      </c>
    </row>
    <row r="161" spans="1:5">
      <c r="A161" s="3">
        <v>34394</v>
      </c>
      <c r="B161" s="3">
        <v>34699</v>
      </c>
      <c r="C161">
        <v>0</v>
      </c>
      <c r="D161">
        <v>174.86</v>
      </c>
      <c r="E161">
        <v>7.6999999999999999E-2</v>
      </c>
    </row>
    <row r="162" spans="1:5">
      <c r="A162" s="3">
        <v>34394</v>
      </c>
      <c r="B162" s="3">
        <v>34699</v>
      </c>
      <c r="C162">
        <v>174.87</v>
      </c>
      <c r="D162">
        <v>291.43</v>
      </c>
      <c r="E162">
        <v>8.77E-2</v>
      </c>
    </row>
    <row r="163" spans="1:5">
      <c r="A163" s="3">
        <v>34394</v>
      </c>
      <c r="B163" s="3">
        <v>34699</v>
      </c>
      <c r="C163">
        <v>291.44</v>
      </c>
      <c r="D163">
        <v>582.86</v>
      </c>
      <c r="E163">
        <v>9.7699999999999995E-2</v>
      </c>
    </row>
    <row r="164" spans="1:5">
      <c r="A164" s="3">
        <v>34366</v>
      </c>
      <c r="B164" s="3">
        <v>34393</v>
      </c>
      <c r="C164">
        <v>0</v>
      </c>
      <c r="D164">
        <v>115582.02</v>
      </c>
      <c r="E164">
        <v>7.6999999999999999E-2</v>
      </c>
    </row>
    <row r="165" spans="1:5">
      <c r="A165" s="3">
        <v>34366</v>
      </c>
      <c r="B165" s="3">
        <v>34393</v>
      </c>
      <c r="C165">
        <v>115582.03</v>
      </c>
      <c r="D165">
        <v>192636.7</v>
      </c>
      <c r="E165">
        <v>8.77E-2</v>
      </c>
    </row>
    <row r="166" spans="1:5">
      <c r="A166" s="3">
        <v>34366</v>
      </c>
      <c r="B166" s="3">
        <v>34393</v>
      </c>
      <c r="C166">
        <v>192636.71</v>
      </c>
      <c r="D166">
        <v>385273.5</v>
      </c>
      <c r="E166">
        <v>9.7699999999999995E-2</v>
      </c>
    </row>
    <row r="167" spans="1:5">
      <c r="A167" s="3">
        <v>34335</v>
      </c>
      <c r="B167" s="3">
        <v>34365</v>
      </c>
      <c r="C167">
        <v>0</v>
      </c>
      <c r="D167">
        <v>88738.58</v>
      </c>
      <c r="E167">
        <v>7.6999999999999999E-2</v>
      </c>
    </row>
    <row r="168" spans="1:5">
      <c r="A168" s="3">
        <v>34335</v>
      </c>
      <c r="B168" s="3">
        <v>34365</v>
      </c>
      <c r="C168">
        <v>88738.59</v>
      </c>
      <c r="D168">
        <v>147897.64000000001</v>
      </c>
      <c r="E168">
        <v>8.77E-2</v>
      </c>
    </row>
    <row r="169" spans="1:5">
      <c r="A169" s="3">
        <v>34335</v>
      </c>
      <c r="B169" s="3">
        <v>34365</v>
      </c>
      <c r="C169">
        <v>147897.65</v>
      </c>
      <c r="D169">
        <v>295795.39</v>
      </c>
      <c r="E169">
        <v>9.7699999999999995E-2</v>
      </c>
    </row>
    <row r="170" spans="1:5">
      <c r="A170" s="3">
        <v>34304</v>
      </c>
      <c r="B170" s="3">
        <v>34334</v>
      </c>
      <c r="C170">
        <v>0</v>
      </c>
      <c r="D170">
        <v>50625.57</v>
      </c>
      <c r="E170">
        <v>7.6999999999999999E-2</v>
      </c>
    </row>
    <row r="171" spans="1:5">
      <c r="A171" s="3">
        <v>34304</v>
      </c>
      <c r="B171" s="3">
        <v>34334</v>
      </c>
      <c r="C171">
        <v>50625.58</v>
      </c>
      <c r="D171">
        <v>84375.96</v>
      </c>
      <c r="E171">
        <v>8.77E-2</v>
      </c>
    </row>
    <row r="172" spans="1:5">
      <c r="A172" s="3">
        <v>34304</v>
      </c>
      <c r="B172" s="3">
        <v>34334</v>
      </c>
      <c r="C172">
        <v>84375.97</v>
      </c>
      <c r="D172">
        <v>168751.98</v>
      </c>
      <c r="E172">
        <v>9.7699999999999995E-2</v>
      </c>
    </row>
    <row r="173" spans="1:5">
      <c r="A173" s="3">
        <v>34274</v>
      </c>
      <c r="B173" s="3">
        <v>34303</v>
      </c>
      <c r="C173">
        <v>0</v>
      </c>
      <c r="D173">
        <v>40536.129999999997</v>
      </c>
      <c r="E173">
        <v>0.08</v>
      </c>
    </row>
    <row r="174" spans="1:5">
      <c r="A174" s="3">
        <v>34274</v>
      </c>
      <c r="B174" s="3">
        <v>34303</v>
      </c>
      <c r="C174">
        <v>40536.14</v>
      </c>
      <c r="D174">
        <v>67560.22</v>
      </c>
      <c r="E174">
        <v>0.09</v>
      </c>
    </row>
    <row r="175" spans="1:5">
      <c r="A175" s="3">
        <v>34274</v>
      </c>
      <c r="B175" s="3">
        <v>34303</v>
      </c>
      <c r="C175">
        <v>67560.23</v>
      </c>
      <c r="D175">
        <v>135120.49</v>
      </c>
      <c r="E175">
        <v>0.1</v>
      </c>
    </row>
    <row r="176" spans="1:5">
      <c r="A176" s="3">
        <v>34243</v>
      </c>
      <c r="B176" s="3">
        <v>34273</v>
      </c>
      <c r="C176">
        <v>0</v>
      </c>
      <c r="D176">
        <v>32449.67</v>
      </c>
      <c r="E176">
        <v>0.08</v>
      </c>
    </row>
    <row r="177" spans="1:5">
      <c r="A177" s="3">
        <v>34243</v>
      </c>
      <c r="B177" s="3">
        <v>34273</v>
      </c>
      <c r="C177">
        <v>32449.68</v>
      </c>
      <c r="D177">
        <v>54082.79</v>
      </c>
      <c r="E177">
        <v>0.09</v>
      </c>
    </row>
    <row r="178" spans="1:5">
      <c r="A178" s="3">
        <v>34243</v>
      </c>
      <c r="B178" s="3">
        <v>34273</v>
      </c>
      <c r="C178">
        <v>54082.8</v>
      </c>
      <c r="D178">
        <v>108165.62</v>
      </c>
      <c r="E178">
        <v>0.1</v>
      </c>
    </row>
    <row r="179" spans="1:5">
      <c r="A179" s="3">
        <v>34213</v>
      </c>
      <c r="B179" s="3">
        <v>34242</v>
      </c>
      <c r="C179">
        <v>0</v>
      </c>
      <c r="D179">
        <v>25924.48</v>
      </c>
      <c r="E179">
        <v>0.08</v>
      </c>
    </row>
    <row r="180" spans="1:5">
      <c r="A180" s="3">
        <v>34213</v>
      </c>
      <c r="B180" s="3">
        <v>34242</v>
      </c>
      <c r="C180">
        <v>25924.49</v>
      </c>
      <c r="D180">
        <v>43207.47</v>
      </c>
      <c r="E180">
        <v>0.09</v>
      </c>
    </row>
    <row r="181" spans="1:5">
      <c r="A181" s="3">
        <v>34213</v>
      </c>
      <c r="B181" s="3">
        <v>34242</v>
      </c>
      <c r="C181">
        <v>43207.48</v>
      </c>
      <c r="D181">
        <v>86414.97</v>
      </c>
      <c r="E181">
        <v>0.1</v>
      </c>
    </row>
    <row r="182" spans="1:5">
      <c r="A182" s="3">
        <v>34182</v>
      </c>
      <c r="B182" s="3">
        <v>34212</v>
      </c>
      <c r="C182">
        <v>0</v>
      </c>
      <c r="D182">
        <v>15183.93</v>
      </c>
      <c r="E182">
        <v>0.08</v>
      </c>
    </row>
    <row r="183" spans="1:5">
      <c r="A183" s="3">
        <v>34182</v>
      </c>
      <c r="B183" s="3">
        <v>34212</v>
      </c>
      <c r="C183">
        <v>15813.94</v>
      </c>
      <c r="D183">
        <v>25306.55</v>
      </c>
      <c r="E183">
        <v>0.09</v>
      </c>
    </row>
    <row r="184" spans="1:5">
      <c r="A184" s="3">
        <v>34182</v>
      </c>
      <c r="B184" s="3">
        <v>34212</v>
      </c>
      <c r="C184">
        <v>25306.560000000001</v>
      </c>
      <c r="D184">
        <v>50613.120000000003</v>
      </c>
      <c r="E184">
        <v>0.1</v>
      </c>
    </row>
    <row r="185" spans="1:5">
      <c r="A185" s="3">
        <v>34151</v>
      </c>
      <c r="B185" s="3">
        <v>34181</v>
      </c>
      <c r="C185">
        <v>0</v>
      </c>
      <c r="D185">
        <v>12731793.25</v>
      </c>
      <c r="E185">
        <v>0.08</v>
      </c>
    </row>
    <row r="186" spans="1:5">
      <c r="A186" s="3">
        <v>34151</v>
      </c>
      <c r="B186" s="3">
        <v>34181</v>
      </c>
      <c r="C186">
        <v>12731793.26</v>
      </c>
      <c r="D186">
        <v>21219655.350000001</v>
      </c>
      <c r="E186">
        <v>0.09</v>
      </c>
    </row>
    <row r="187" spans="1:5">
      <c r="A187" s="3">
        <v>34151</v>
      </c>
      <c r="B187" s="3">
        <v>34181</v>
      </c>
      <c r="C187">
        <v>21219655.359999999</v>
      </c>
      <c r="D187">
        <v>42439310.549999997</v>
      </c>
      <c r="E187">
        <v>0.1</v>
      </c>
    </row>
    <row r="188" spans="1:5">
      <c r="A188" s="3">
        <v>34090</v>
      </c>
      <c r="B188" s="3">
        <v>34150</v>
      </c>
      <c r="C188">
        <v>0</v>
      </c>
      <c r="D188">
        <v>9064419.6899999995</v>
      </c>
      <c r="E188">
        <v>0.08</v>
      </c>
    </row>
    <row r="189" spans="1:5">
      <c r="A189" s="3">
        <v>34090</v>
      </c>
      <c r="B189" s="3">
        <v>34150</v>
      </c>
      <c r="C189">
        <v>9064419.6999999993</v>
      </c>
      <c r="D189">
        <v>15107366.1</v>
      </c>
      <c r="E189">
        <v>0.09</v>
      </c>
    </row>
    <row r="190" spans="1:5">
      <c r="A190" s="3">
        <v>34090</v>
      </c>
      <c r="B190" s="3">
        <v>34150</v>
      </c>
      <c r="C190">
        <v>15107366.109999999</v>
      </c>
      <c r="D190">
        <v>30214732.09</v>
      </c>
      <c r="E190">
        <v>0.1</v>
      </c>
    </row>
    <row r="191" spans="1:5">
      <c r="A191" s="3">
        <v>34029</v>
      </c>
      <c r="B191" s="3">
        <v>34089</v>
      </c>
      <c r="C191">
        <v>0</v>
      </c>
      <c r="D191">
        <v>4728257.59</v>
      </c>
      <c r="E191">
        <v>0.08</v>
      </c>
    </row>
    <row r="192" spans="1:5">
      <c r="A192" s="3">
        <v>34029</v>
      </c>
      <c r="B192" s="3">
        <v>34089</v>
      </c>
      <c r="C192">
        <v>4728257.5999999996</v>
      </c>
      <c r="D192">
        <v>7880429.29</v>
      </c>
      <c r="E192">
        <v>0.09</v>
      </c>
    </row>
    <row r="193" spans="1:5">
      <c r="A193" s="3">
        <v>34029</v>
      </c>
      <c r="B193" s="3">
        <v>34089</v>
      </c>
      <c r="C193">
        <v>7880429.2999999998</v>
      </c>
      <c r="D193">
        <v>15760858.52</v>
      </c>
      <c r="E193">
        <v>0.1</v>
      </c>
    </row>
    <row r="194" spans="1:5">
      <c r="A194" s="3">
        <v>33970</v>
      </c>
      <c r="B194" s="3">
        <v>34028</v>
      </c>
      <c r="C194">
        <v>0</v>
      </c>
      <c r="D194">
        <v>3459616.19</v>
      </c>
      <c r="E194">
        <v>0.08</v>
      </c>
    </row>
    <row r="195" spans="1:5">
      <c r="A195" s="3">
        <v>33970</v>
      </c>
      <c r="B195" s="3">
        <v>34028</v>
      </c>
      <c r="C195">
        <v>3459616.2</v>
      </c>
      <c r="D195">
        <v>5766027.1399999997</v>
      </c>
      <c r="E195">
        <v>0.09</v>
      </c>
    </row>
    <row r="196" spans="1:5">
      <c r="A196" s="3">
        <v>33970</v>
      </c>
      <c r="B196" s="3">
        <v>34028</v>
      </c>
      <c r="C196">
        <v>5766027.1500000004</v>
      </c>
      <c r="D196">
        <v>11532054.23</v>
      </c>
      <c r="E196">
        <v>0.1</v>
      </c>
    </row>
    <row r="197" spans="1:5">
      <c r="A197" s="3">
        <v>33848</v>
      </c>
      <c r="B197" s="3">
        <v>33969</v>
      </c>
      <c r="C197">
        <v>0</v>
      </c>
      <c r="D197">
        <v>1434259</v>
      </c>
      <c r="E197">
        <v>0.08</v>
      </c>
    </row>
    <row r="198" spans="1:5">
      <c r="A198" s="3">
        <v>33848</v>
      </c>
      <c r="B198" s="3">
        <v>33969</v>
      </c>
      <c r="C198">
        <v>1434259.01</v>
      </c>
      <c r="D198">
        <v>2390431.66</v>
      </c>
      <c r="E198">
        <v>0.09</v>
      </c>
    </row>
    <row r="199" spans="1:5">
      <c r="A199" s="3">
        <v>33848</v>
      </c>
      <c r="B199" s="3">
        <v>33969</v>
      </c>
      <c r="C199">
        <v>2390431.67</v>
      </c>
      <c r="D199">
        <v>4780863.3</v>
      </c>
      <c r="E199">
        <v>0.1</v>
      </c>
    </row>
    <row r="200" spans="1:5">
      <c r="A200" s="3">
        <v>33725</v>
      </c>
      <c r="B200" s="3">
        <v>33847</v>
      </c>
      <c r="C200">
        <v>0</v>
      </c>
      <c r="D200">
        <v>638052.75</v>
      </c>
      <c r="E200">
        <v>0.08</v>
      </c>
    </row>
    <row r="201" spans="1:5">
      <c r="A201" s="3">
        <v>33725</v>
      </c>
      <c r="B201" s="3">
        <v>33847</v>
      </c>
      <c r="C201">
        <v>638052.76</v>
      </c>
      <c r="D201">
        <v>1063421.25</v>
      </c>
      <c r="E201">
        <v>0.09</v>
      </c>
    </row>
    <row r="202" spans="1:5">
      <c r="A202" s="3">
        <v>33725</v>
      </c>
      <c r="B202" s="3">
        <v>33847</v>
      </c>
      <c r="C202">
        <v>1063421.26</v>
      </c>
      <c r="D202">
        <v>2126842.4900000002</v>
      </c>
      <c r="E202">
        <v>0.1</v>
      </c>
    </row>
    <row r="203" spans="1:5">
      <c r="A203" s="3">
        <v>33604</v>
      </c>
      <c r="B203" s="3">
        <v>33724</v>
      </c>
      <c r="C203">
        <v>0</v>
      </c>
      <c r="D203">
        <v>276978.83</v>
      </c>
      <c r="E203">
        <v>0.08</v>
      </c>
    </row>
    <row r="204" spans="1:5">
      <c r="A204" s="3">
        <v>33604</v>
      </c>
      <c r="B204" s="3">
        <v>33724</v>
      </c>
      <c r="C204">
        <v>276978.84000000003</v>
      </c>
      <c r="D204">
        <v>461631.38</v>
      </c>
      <c r="E204">
        <v>0.09</v>
      </c>
    </row>
    <row r="205" spans="1:5">
      <c r="A205" s="3">
        <v>33604</v>
      </c>
      <c r="B205" s="3">
        <v>33724</v>
      </c>
      <c r="C205">
        <v>461631.39</v>
      </c>
      <c r="D205">
        <v>923262.76</v>
      </c>
      <c r="E205">
        <v>0.1</v>
      </c>
    </row>
    <row r="206" spans="1:5">
      <c r="A206" s="3">
        <v>33482</v>
      </c>
      <c r="B206" s="3">
        <v>33603</v>
      </c>
      <c r="C206">
        <v>0</v>
      </c>
      <c r="D206">
        <v>126000.6</v>
      </c>
      <c r="E206">
        <v>0.08</v>
      </c>
    </row>
    <row r="207" spans="1:5">
      <c r="A207" s="3">
        <v>33482</v>
      </c>
      <c r="B207" s="3">
        <v>33603</v>
      </c>
      <c r="C207">
        <v>126000.61</v>
      </c>
      <c r="D207">
        <v>210001</v>
      </c>
      <c r="E207">
        <v>0.09</v>
      </c>
    </row>
    <row r="208" spans="1:5">
      <c r="A208" s="3">
        <v>33482</v>
      </c>
      <c r="B208" s="3">
        <v>33603</v>
      </c>
      <c r="C208">
        <v>210001.01</v>
      </c>
      <c r="D208">
        <v>420002</v>
      </c>
      <c r="E208">
        <v>0.1</v>
      </c>
    </row>
    <row r="209" spans="1:5">
      <c r="A209" s="3">
        <v>33451</v>
      </c>
      <c r="B209" s="3">
        <v>33481</v>
      </c>
      <c r="C209">
        <v>0</v>
      </c>
      <c r="D209">
        <v>51000</v>
      </c>
      <c r="E209">
        <v>0.08</v>
      </c>
    </row>
    <row r="210" spans="1:5">
      <c r="A210" s="3">
        <v>33451</v>
      </c>
      <c r="B210" s="3">
        <v>33481</v>
      </c>
      <c r="C210">
        <v>51000.01</v>
      </c>
      <c r="D210">
        <v>85000</v>
      </c>
      <c r="E210">
        <v>0.09</v>
      </c>
    </row>
    <row r="211" spans="1:5">
      <c r="A211" s="3">
        <v>33451</v>
      </c>
      <c r="B211" s="3">
        <v>33481</v>
      </c>
      <c r="C211">
        <v>85000.01</v>
      </c>
      <c r="D211">
        <v>170000</v>
      </c>
      <c r="E211">
        <v>0.1</v>
      </c>
    </row>
    <row r="212" spans="1:5">
      <c r="A212" s="3">
        <v>33298</v>
      </c>
      <c r="B212" s="3">
        <v>33450</v>
      </c>
      <c r="C212">
        <v>0</v>
      </c>
      <c r="D212">
        <v>38136.239999999998</v>
      </c>
      <c r="E212">
        <v>0.08</v>
      </c>
    </row>
    <row r="213" spans="1:5">
      <c r="A213" s="3">
        <v>33298</v>
      </c>
      <c r="B213" s="3">
        <v>33450</v>
      </c>
      <c r="C213">
        <v>38136.25</v>
      </c>
      <c r="D213">
        <v>63650.400000000001</v>
      </c>
      <c r="E213">
        <v>0.09</v>
      </c>
    </row>
    <row r="214" spans="1:5">
      <c r="A214" s="3">
        <v>33298</v>
      </c>
      <c r="B214" s="3">
        <v>33450</v>
      </c>
      <c r="C214">
        <v>63650.41</v>
      </c>
      <c r="D214">
        <v>127120.8</v>
      </c>
      <c r="E214">
        <v>0.1</v>
      </c>
    </row>
    <row r="215" spans="1:5">
      <c r="A215" s="3">
        <v>33270</v>
      </c>
      <c r="B215" s="3">
        <v>33297</v>
      </c>
      <c r="C215">
        <v>0</v>
      </c>
      <c r="D215">
        <v>65658</v>
      </c>
      <c r="E215">
        <v>0.08</v>
      </c>
    </row>
    <row r="216" spans="1:5">
      <c r="A216" s="3">
        <v>33270</v>
      </c>
      <c r="B216" s="3">
        <v>33297</v>
      </c>
      <c r="C216">
        <v>35658.01</v>
      </c>
      <c r="D216">
        <v>59430.01</v>
      </c>
      <c r="E216">
        <v>0.09</v>
      </c>
    </row>
    <row r="217" spans="1:5">
      <c r="A217" s="3">
        <v>33270</v>
      </c>
      <c r="B217" s="3">
        <v>33297</v>
      </c>
      <c r="C217">
        <v>59430.02</v>
      </c>
      <c r="D217">
        <v>118859.99</v>
      </c>
      <c r="E217">
        <v>0.1</v>
      </c>
    </row>
    <row r="218" spans="1:5">
      <c r="A218" s="3">
        <v>33239</v>
      </c>
      <c r="B218" s="3">
        <v>33269</v>
      </c>
      <c r="C218">
        <v>0</v>
      </c>
      <c r="D218">
        <v>27650.43</v>
      </c>
      <c r="E218">
        <v>0.08</v>
      </c>
    </row>
    <row r="219" spans="1:5">
      <c r="A219" s="3">
        <v>33239</v>
      </c>
      <c r="B219" s="3">
        <v>33269</v>
      </c>
      <c r="C219">
        <v>27650.44</v>
      </c>
      <c r="D219">
        <v>46084.06</v>
      </c>
      <c r="E219">
        <v>0.09</v>
      </c>
    </row>
    <row r="220" spans="1:5">
      <c r="A220" s="3">
        <v>33239</v>
      </c>
      <c r="B220" s="3">
        <v>33269</v>
      </c>
      <c r="C220">
        <v>46084.07</v>
      </c>
      <c r="D220">
        <v>92168.11</v>
      </c>
      <c r="E220">
        <v>0.1</v>
      </c>
    </row>
    <row r="221" spans="1:5">
      <c r="A221" s="3">
        <v>33208</v>
      </c>
      <c r="B221" s="3">
        <v>33238</v>
      </c>
      <c r="C221">
        <v>0</v>
      </c>
      <c r="D221">
        <v>19823.939999999999</v>
      </c>
      <c r="E221">
        <v>0.08</v>
      </c>
    </row>
    <row r="222" spans="1:5">
      <c r="A222" s="3">
        <v>33208</v>
      </c>
      <c r="B222" s="3">
        <v>33238</v>
      </c>
      <c r="C222">
        <v>19823.95</v>
      </c>
      <c r="D222">
        <v>33039.9</v>
      </c>
      <c r="E222">
        <v>0.09</v>
      </c>
    </row>
    <row r="223" spans="1:5">
      <c r="A223" s="3">
        <v>33208</v>
      </c>
      <c r="B223" s="3">
        <v>33238</v>
      </c>
      <c r="C223">
        <v>33039.910000000003</v>
      </c>
      <c r="D223">
        <v>66079.759999999995</v>
      </c>
      <c r="E223">
        <v>0.1</v>
      </c>
    </row>
    <row r="224" spans="1:5">
      <c r="A224" s="3">
        <v>33178</v>
      </c>
      <c r="B224" s="3">
        <v>33207</v>
      </c>
      <c r="C224">
        <v>0</v>
      </c>
      <c r="D224">
        <v>18685.97</v>
      </c>
      <c r="E224">
        <v>0.08</v>
      </c>
    </row>
    <row r="225" spans="1:5">
      <c r="A225" s="3">
        <v>33178</v>
      </c>
      <c r="B225" s="3">
        <v>33207</v>
      </c>
      <c r="C225">
        <v>18685.98</v>
      </c>
      <c r="D225">
        <v>31143.279999999999</v>
      </c>
      <c r="E225">
        <v>0.09</v>
      </c>
    </row>
    <row r="226" spans="1:5">
      <c r="A226" s="3">
        <v>33178</v>
      </c>
      <c r="B226" s="3">
        <v>33207</v>
      </c>
      <c r="C226">
        <v>31143.29</v>
      </c>
      <c r="D226">
        <v>62286.55</v>
      </c>
      <c r="E226">
        <v>0.1</v>
      </c>
    </row>
    <row r="227" spans="1:5">
      <c r="A227" s="3">
        <v>33147</v>
      </c>
      <c r="B227" s="3">
        <v>33177</v>
      </c>
      <c r="C227">
        <v>0</v>
      </c>
      <c r="D227">
        <v>14413.73</v>
      </c>
      <c r="E227">
        <v>0.08</v>
      </c>
    </row>
    <row r="228" spans="1:5">
      <c r="A228" s="3">
        <v>33147</v>
      </c>
      <c r="B228" s="3">
        <v>33177</v>
      </c>
      <c r="C228">
        <v>14413.74</v>
      </c>
      <c r="D228">
        <v>24022.89</v>
      </c>
      <c r="E228">
        <v>0.09</v>
      </c>
    </row>
    <row r="229" spans="1:5">
      <c r="A229" s="3">
        <v>33147</v>
      </c>
      <c r="B229" s="3">
        <v>33177</v>
      </c>
      <c r="C229">
        <v>24022.9</v>
      </c>
      <c r="D229">
        <v>48045.78</v>
      </c>
      <c r="E229">
        <v>0.1</v>
      </c>
    </row>
    <row r="230" spans="1:5">
      <c r="A230" s="3">
        <v>33117</v>
      </c>
      <c r="B230" s="3">
        <v>33146</v>
      </c>
      <c r="C230">
        <v>0</v>
      </c>
      <c r="D230">
        <v>11673.1</v>
      </c>
      <c r="E230">
        <v>0.08</v>
      </c>
    </row>
    <row r="231" spans="1:5">
      <c r="A231" s="3">
        <v>33117</v>
      </c>
      <c r="B231" s="3">
        <v>33146</v>
      </c>
      <c r="C231">
        <v>11673.11</v>
      </c>
      <c r="D231">
        <v>19455.169999999998</v>
      </c>
      <c r="E231">
        <v>0.09</v>
      </c>
    </row>
    <row r="232" spans="1:5">
      <c r="A232" s="3">
        <v>33117</v>
      </c>
      <c r="B232" s="3">
        <v>33146</v>
      </c>
      <c r="C232">
        <v>19455.18</v>
      </c>
      <c r="D232">
        <v>38910.35</v>
      </c>
      <c r="E232">
        <v>0.1</v>
      </c>
    </row>
    <row r="233" spans="1:5">
      <c r="A233" s="3">
        <v>33055</v>
      </c>
      <c r="B233" s="3">
        <v>33116</v>
      </c>
      <c r="C233">
        <v>0</v>
      </c>
      <c r="D233">
        <v>11003.02</v>
      </c>
      <c r="E233">
        <v>0.08</v>
      </c>
    </row>
    <row r="234" spans="1:5">
      <c r="A234" s="3">
        <v>33055</v>
      </c>
      <c r="B234" s="3">
        <v>33116</v>
      </c>
      <c r="C234">
        <v>11003.03</v>
      </c>
      <c r="D234">
        <v>18338.37</v>
      </c>
      <c r="E234">
        <v>0.09</v>
      </c>
    </row>
    <row r="235" spans="1:5">
      <c r="A235" s="3">
        <v>33055</v>
      </c>
      <c r="B235" s="3">
        <v>33116</v>
      </c>
      <c r="C235">
        <v>18338.38</v>
      </c>
      <c r="D235">
        <v>36676.74</v>
      </c>
      <c r="E235">
        <v>0.1</v>
      </c>
    </row>
    <row r="236" spans="1:5">
      <c r="A236" s="3">
        <v>33025</v>
      </c>
      <c r="B236" s="3">
        <v>33054</v>
      </c>
      <c r="C236">
        <v>0</v>
      </c>
      <c r="D236">
        <v>8654.2800000000007</v>
      </c>
      <c r="E236">
        <v>0.08</v>
      </c>
    </row>
    <row r="237" spans="1:5">
      <c r="A237" s="3">
        <v>33025</v>
      </c>
      <c r="B237" s="3">
        <v>33054</v>
      </c>
      <c r="C237">
        <v>8654.2900000000009</v>
      </c>
      <c r="D237">
        <v>14423.8</v>
      </c>
      <c r="E237">
        <v>0.09</v>
      </c>
    </row>
    <row r="238" spans="1:5">
      <c r="A238" s="3">
        <v>33025</v>
      </c>
      <c r="B238" s="3">
        <v>33054</v>
      </c>
      <c r="C238">
        <v>14423.81</v>
      </c>
      <c r="D238">
        <v>28847.52</v>
      </c>
      <c r="E238">
        <v>0.1</v>
      </c>
    </row>
    <row r="239" spans="1:5">
      <c r="A239" s="3">
        <v>32933</v>
      </c>
      <c r="B239" s="3">
        <v>33024</v>
      </c>
      <c r="C239">
        <v>0</v>
      </c>
      <c r="D239">
        <v>8212.42</v>
      </c>
      <c r="E239">
        <v>0.08</v>
      </c>
    </row>
    <row r="240" spans="1:5">
      <c r="A240" s="3">
        <v>32933</v>
      </c>
      <c r="B240" s="3">
        <v>33024</v>
      </c>
      <c r="C240">
        <v>8212.43</v>
      </c>
      <c r="D240">
        <v>13687.39</v>
      </c>
      <c r="E240">
        <v>0.09</v>
      </c>
    </row>
    <row r="241" spans="1:5">
      <c r="A241" s="3">
        <v>32933</v>
      </c>
      <c r="B241" s="3">
        <v>33024</v>
      </c>
      <c r="C241">
        <v>13687.4</v>
      </c>
      <c r="D241">
        <v>27374.76</v>
      </c>
      <c r="E241">
        <v>0.1</v>
      </c>
    </row>
    <row r="242" spans="1:5">
      <c r="A242" s="3">
        <v>32905</v>
      </c>
      <c r="B242" s="3">
        <v>32932</v>
      </c>
      <c r="C242">
        <v>0</v>
      </c>
      <c r="D242">
        <v>4753.1099999999997</v>
      </c>
      <c r="E242">
        <v>0.08</v>
      </c>
    </row>
    <row r="243" spans="1:5">
      <c r="A243" s="3">
        <v>32905</v>
      </c>
      <c r="B243" s="3">
        <v>32932</v>
      </c>
      <c r="C243">
        <v>4753.12</v>
      </c>
      <c r="D243">
        <v>7921.86</v>
      </c>
      <c r="E243">
        <v>0.09</v>
      </c>
    </row>
    <row r="244" spans="1:5">
      <c r="A244" s="3">
        <v>32905</v>
      </c>
      <c r="B244" s="3">
        <v>32932</v>
      </c>
      <c r="C244">
        <v>7921.87</v>
      </c>
      <c r="D244">
        <v>15843.71</v>
      </c>
      <c r="E244">
        <v>0.1</v>
      </c>
    </row>
    <row r="245" spans="1:5">
      <c r="A245" s="3">
        <v>32874</v>
      </c>
      <c r="B245" s="3">
        <v>32904</v>
      </c>
      <c r="C245">
        <v>0</v>
      </c>
      <c r="D245">
        <v>3044.72</v>
      </c>
      <c r="E245">
        <v>0.08</v>
      </c>
    </row>
    <row r="246" spans="1:5">
      <c r="A246" s="3">
        <v>32874</v>
      </c>
      <c r="B246" s="3">
        <v>32904</v>
      </c>
      <c r="C246">
        <v>3044.73</v>
      </c>
      <c r="D246">
        <v>5074.54</v>
      </c>
      <c r="E246">
        <v>0.09</v>
      </c>
    </row>
    <row r="247" spans="1:5">
      <c r="A247" s="3">
        <v>32874</v>
      </c>
      <c r="B247" s="3">
        <v>32904</v>
      </c>
      <c r="C247">
        <v>5074.55</v>
      </c>
      <c r="D247">
        <v>10149.07</v>
      </c>
      <c r="E247">
        <v>0.1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dimension ref="A1:AA85"/>
  <sheetViews>
    <sheetView tabSelected="1" workbookViewId="0">
      <selection activeCell="A40" sqref="A40:A85"/>
    </sheetView>
  </sheetViews>
  <sheetFormatPr defaultRowHeight="15"/>
  <cols>
    <col min="1" max="13" width="10.7109375" customWidth="1"/>
    <col min="14" max="14" width="8" customWidth="1"/>
    <col min="15" max="15" width="11.42578125" bestFit="1" customWidth="1"/>
    <col min="16" max="16" width="10.7109375" customWidth="1"/>
    <col min="17" max="17" width="12.28515625" customWidth="1"/>
    <col min="19" max="19" width="19" customWidth="1"/>
  </cols>
  <sheetData>
    <row r="1" spans="2:27">
      <c r="M1" s="43"/>
      <c r="N1" s="53"/>
      <c r="O1" s="53"/>
      <c r="P1" s="53"/>
      <c r="Q1" s="5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2:27">
      <c r="B2" s="4"/>
      <c r="C2" s="39" t="s">
        <v>109</v>
      </c>
      <c r="D2" s="40">
        <f>INDEX(Tabela_PROCX!A:A,$D$3+1)</f>
        <v>45292</v>
      </c>
      <c r="E2" s="39" t="s">
        <v>106</v>
      </c>
      <c r="F2" s="40">
        <f>INDEX(Tabela_PROCX!B:B,$D$3+1)</f>
        <v>45657</v>
      </c>
      <c r="G2" s="5"/>
      <c r="H2" s="6"/>
      <c r="I2" s="82">
        <v>45352</v>
      </c>
      <c r="J2" s="82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2:27">
      <c r="B3" s="7"/>
      <c r="C3" s="66" t="s">
        <v>104</v>
      </c>
      <c r="D3" s="67">
        <f t="array" ref="D3">MATCH(1,(Tabela_PROCX!$A$2:$A$247&lt;=I2)*(Tabela_PROCX!$B$2:$B$247&gt;=I2),0)</f>
        <v>9</v>
      </c>
      <c r="E3" s="37"/>
      <c r="F3" s="37"/>
      <c r="G3" s="8"/>
      <c r="H3" s="6"/>
      <c r="I3" s="82"/>
      <c r="J3" s="82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2:27">
      <c r="B4" s="7"/>
      <c r="C4" s="38" t="s">
        <v>1</v>
      </c>
      <c r="D4" s="38" t="s">
        <v>2</v>
      </c>
      <c r="E4" s="38" t="s">
        <v>3</v>
      </c>
      <c r="F4" s="38" t="s">
        <v>4</v>
      </c>
      <c r="G4" s="8"/>
      <c r="H4" s="6"/>
      <c r="I4" s="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2:27">
      <c r="B5" s="7"/>
      <c r="C5" s="41">
        <f>INDEX(Tabela_PROCX!C:C,$D$3+1)</f>
        <v>0</v>
      </c>
      <c r="D5" s="41">
        <f>INDEX(Tabela_PROCX!D:D,$D$3+1)</f>
        <v>1412</v>
      </c>
      <c r="E5" s="42">
        <f>INDEX(Tabela_PROCX!E:E,$D$3+1)</f>
        <v>7.4999999999999997E-2</v>
      </c>
      <c r="F5" s="41">
        <f>INDEX(Tabela_PROCX!F:F,$D$3+1)</f>
        <v>0</v>
      </c>
      <c r="G5" s="8"/>
      <c r="H5" s="9"/>
      <c r="I5" s="1"/>
      <c r="J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2:27">
      <c r="B6" s="7"/>
      <c r="C6" s="41">
        <f>INDEX(Tabela_PROCX!C:C,$D$3+2)</f>
        <v>1412.01</v>
      </c>
      <c r="D6" s="41">
        <f>INDEX(Tabela_PROCX!D:D,$D$3+2)</f>
        <v>2666.68</v>
      </c>
      <c r="E6" s="42">
        <f>INDEX(Tabela_PROCX!E:E,$D$3+2)</f>
        <v>0.09</v>
      </c>
      <c r="F6" s="41">
        <f>INDEX(Tabela_PROCX!F:F,$D$3+2)</f>
        <v>21.18</v>
      </c>
      <c r="G6" s="8"/>
      <c r="H6" s="9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2:27">
      <c r="B7" s="7"/>
      <c r="C7" s="41">
        <f>INDEX(Tabela_PROCX!C:C,$D$3+3)</f>
        <v>2666.69</v>
      </c>
      <c r="D7" s="41">
        <f>INDEX(Tabela_PROCX!D:D,$D$3+3)</f>
        <v>4000.03</v>
      </c>
      <c r="E7" s="42">
        <f>INDEX(Tabela_PROCX!E:E,$D$3+3)</f>
        <v>0.12</v>
      </c>
      <c r="F7" s="41">
        <f>INDEX(Tabela_PROCX!F:F,$D$3+3)</f>
        <v>101.18</v>
      </c>
      <c r="G7" s="8"/>
      <c r="H7" s="9"/>
      <c r="I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2:27">
      <c r="B8" s="7"/>
      <c r="C8" s="41">
        <f>IF(INDEX(Tabela_PROCX!A:A,$D$3+4)=INDEX(Tabela_PROCX!A:A,$D$3+1),INDEX(Tabela_PROCX!C:C,$D$3+4),C7)</f>
        <v>4000.04</v>
      </c>
      <c r="D8" s="41">
        <f>IF(INDEX(Tabela_PROCX!B:B,$D$3+4)=INDEX(Tabela_PROCX!B:B,$D$3+1),INDEX(Tabela_PROCX!D:D,$D$3+4),D7)</f>
        <v>7786.02</v>
      </c>
      <c r="E8" s="42">
        <f>IF(INDEX(Tabela_PROCX!A:A,$D$3+4)=INDEX(Tabela_PROCX!A:A,$D$3+1),INDEX(Tabela_PROCX!E:E,$D$3+4),E7)</f>
        <v>0.14000000000000001</v>
      </c>
      <c r="F8" s="41">
        <f>IF(INDEX(Tabela_PROCX!A:A,$D$3+4)=INDEX(Tabela_PROCX!A:A,$D$3+1),INDEX(Tabela_PROCX!F:F,$D$3+4),F7)</f>
        <v>181.18</v>
      </c>
      <c r="G8" s="8"/>
      <c r="H8" s="10"/>
      <c r="I8" s="1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2:27">
      <c r="B9" s="12"/>
      <c r="C9" s="13"/>
      <c r="D9" s="13"/>
      <c r="E9" s="14"/>
      <c r="F9" s="14"/>
      <c r="G9" s="15"/>
      <c r="H9" s="9"/>
      <c r="I9" s="1"/>
      <c r="M9" s="43"/>
      <c r="N9" s="79" t="s">
        <v>113</v>
      </c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2:27">
      <c r="C10" s="16"/>
      <c r="D10" s="17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2:27" ht="15.75">
      <c r="B11" s="18" t="s">
        <v>80</v>
      </c>
      <c r="C11" s="19" t="s">
        <v>81</v>
      </c>
      <c r="D11" s="19" t="s">
        <v>82</v>
      </c>
      <c r="E11" s="19" t="s">
        <v>83</v>
      </c>
      <c r="F11" s="19" t="s">
        <v>84</v>
      </c>
      <c r="G11" s="19" t="s">
        <v>85</v>
      </c>
      <c r="H11" s="19" t="s">
        <v>86</v>
      </c>
      <c r="I11" s="19" t="s">
        <v>87</v>
      </c>
      <c r="J11" s="19" t="s">
        <v>88</v>
      </c>
      <c r="K11" s="20" t="s">
        <v>89</v>
      </c>
      <c r="L11" s="21"/>
      <c r="M11" s="43"/>
      <c r="N11" s="56" t="s">
        <v>90</v>
      </c>
      <c r="O11" s="77"/>
      <c r="P11" s="78"/>
      <c r="Q11" s="80">
        <f t="shared" ref="Q11:Q14" si="0">P11+O11</f>
        <v>0</v>
      </c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2:27" ht="15.75">
      <c r="B12" s="22">
        <f>INDEX($E$5:$E$8,MATCH(H12,$C$5:$C$8,1))</f>
        <v>0.09</v>
      </c>
      <c r="C12" s="73">
        <v>233.73</v>
      </c>
      <c r="D12" s="74">
        <v>3004.88</v>
      </c>
      <c r="E12" s="71">
        <v>824</v>
      </c>
      <c r="F12" s="23">
        <f>INDEX($F$5:$F$8,MATCH(G12,$C$5:$C$8,1))</f>
        <v>21.18</v>
      </c>
      <c r="G12" s="24">
        <f>IF(D12=0,,SUM($D$12:D12)-SUM($E$12:$E$23))</f>
        <v>2180.88</v>
      </c>
      <c r="H12" s="25">
        <f>IF(G12&gt;$D$8,$D$8,G12)</f>
        <v>2180.88</v>
      </c>
      <c r="I12" s="26">
        <f>H12*B12-F12</f>
        <v>175.0992</v>
      </c>
      <c r="J12" s="25">
        <f>TRUNC(I12,2)</f>
        <v>175.09</v>
      </c>
      <c r="K12" s="61" t="str">
        <f>IF(J12=$C$12,"SIM","NÃO")</f>
        <v>NÃO</v>
      </c>
      <c r="L12" s="76">
        <f t="shared" ref="L12:L23" si="1">IF(K12="SIM",G12,)</f>
        <v>0</v>
      </c>
      <c r="M12" s="43"/>
      <c r="N12" s="56" t="s">
        <v>91</v>
      </c>
      <c r="O12" s="77"/>
      <c r="P12" s="78"/>
      <c r="Q12" s="80">
        <f t="shared" si="0"/>
        <v>0</v>
      </c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2:27" ht="15.75">
      <c r="B13" s="28">
        <f t="shared" ref="B13:B23" si="2">IF(D13=0,0,INDEX($E$5:$E$8,MATCH(H13,$C$5:$C$8,1)))</f>
        <v>0</v>
      </c>
      <c r="C13" s="11"/>
      <c r="D13" s="81"/>
      <c r="E13" s="71"/>
      <c r="F13" s="23">
        <f t="shared" ref="F13:F23" si="3">INDEX($F$5:$F$8,MATCH(G13,$C$5:$C$8,1))</f>
        <v>0</v>
      </c>
      <c r="G13" s="24">
        <f>IF(D13=0,,SUM($D$12:D13)-SUM($E$12:$E$23))</f>
        <v>0</v>
      </c>
      <c r="H13" s="26">
        <f t="shared" ref="H13:H23" si="4">IF(G13&gt;$D$8,$D$8,G13)</f>
        <v>0</v>
      </c>
      <c r="I13" s="26">
        <f>H13*B13-F13</f>
        <v>0</v>
      </c>
      <c r="J13" s="26">
        <f>TRUNC(I13,2)</f>
        <v>0</v>
      </c>
      <c r="K13" s="62" t="str">
        <f t="shared" ref="K13:K23" si="5">IF(J13=$C$12,"SIM","NÃO")</f>
        <v>NÃO</v>
      </c>
      <c r="L13" s="76">
        <f t="shared" si="1"/>
        <v>0</v>
      </c>
      <c r="M13" s="43"/>
      <c r="N13" s="56" t="s">
        <v>92</v>
      </c>
      <c r="O13" s="77">
        <v>1474.17</v>
      </c>
      <c r="P13" s="78">
        <v>1127.1400000000001</v>
      </c>
      <c r="Q13" s="80">
        <f t="shared" si="0"/>
        <v>2601.3100000000004</v>
      </c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2:27" ht="15.75">
      <c r="B14" s="28">
        <f t="shared" si="2"/>
        <v>0</v>
      </c>
      <c r="C14" s="11"/>
      <c r="D14" s="74"/>
      <c r="E14" s="71"/>
      <c r="F14" s="23">
        <f t="shared" si="3"/>
        <v>0</v>
      </c>
      <c r="G14" s="24">
        <f>IF(D14=0,,SUM($D$12:D14)-SUM($E$12:$E$23))</f>
        <v>0</v>
      </c>
      <c r="H14" s="26">
        <f t="shared" si="4"/>
        <v>0</v>
      </c>
      <c r="I14" s="26">
        <f t="shared" ref="I14:I23" si="6">H14*B14-F14</f>
        <v>0</v>
      </c>
      <c r="J14" s="26">
        <f t="shared" ref="J14:J23" si="7">TRUNC(I14,2)</f>
        <v>0</v>
      </c>
      <c r="K14" s="62" t="str">
        <f t="shared" si="5"/>
        <v>NÃO</v>
      </c>
      <c r="L14" s="76">
        <f t="shared" si="1"/>
        <v>0</v>
      </c>
      <c r="M14" s="43"/>
      <c r="N14" s="56" t="s">
        <v>94</v>
      </c>
      <c r="O14" s="77">
        <v>902.22</v>
      </c>
      <c r="P14" s="78">
        <v>714.56</v>
      </c>
      <c r="Q14" s="80">
        <f t="shared" si="0"/>
        <v>1616.78</v>
      </c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2:27" ht="15.75">
      <c r="B15" s="28">
        <f t="shared" si="2"/>
        <v>0</v>
      </c>
      <c r="C15" s="11"/>
      <c r="D15" s="74"/>
      <c r="E15" s="71"/>
      <c r="F15" s="23">
        <f t="shared" si="3"/>
        <v>0</v>
      </c>
      <c r="G15" s="24">
        <f>IF(D15=0,,SUM($D$12:D15)-SUM($E$12:$E$23))</f>
        <v>0</v>
      </c>
      <c r="H15" s="26">
        <f t="shared" si="4"/>
        <v>0</v>
      </c>
      <c r="I15" s="26">
        <f t="shared" si="6"/>
        <v>0</v>
      </c>
      <c r="J15" s="26">
        <f t="shared" si="7"/>
        <v>0</v>
      </c>
      <c r="K15" s="62" t="str">
        <f t="shared" si="5"/>
        <v>NÃO</v>
      </c>
      <c r="L15" s="76">
        <f t="shared" si="1"/>
        <v>0</v>
      </c>
      <c r="M15" s="43"/>
      <c r="N15" s="56" t="s">
        <v>96</v>
      </c>
      <c r="O15" s="77">
        <v>1065.93</v>
      </c>
      <c r="P15" s="78">
        <v>714.56</v>
      </c>
      <c r="Q15" s="80">
        <f>P15+O15</f>
        <v>1780.49</v>
      </c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2:27" ht="15.75">
      <c r="B16" s="28">
        <f t="shared" si="2"/>
        <v>0</v>
      </c>
      <c r="C16" s="11"/>
      <c r="D16" s="74"/>
      <c r="E16" s="71"/>
      <c r="F16" s="23">
        <f t="shared" si="3"/>
        <v>0</v>
      </c>
      <c r="G16" s="24">
        <f>IF(D16=0,,SUM($D$12:D16)-SUM($E$12:$E$23))</f>
        <v>0</v>
      </c>
      <c r="H16" s="26">
        <f t="shared" si="4"/>
        <v>0</v>
      </c>
      <c r="I16" s="26">
        <f t="shared" si="6"/>
        <v>0</v>
      </c>
      <c r="J16" s="26">
        <f>TRUNC(I16,2)</f>
        <v>0</v>
      </c>
      <c r="K16" s="62" t="str">
        <f t="shared" si="5"/>
        <v>NÃO</v>
      </c>
      <c r="L16" s="76">
        <f t="shared" si="1"/>
        <v>0</v>
      </c>
      <c r="M16" s="43"/>
      <c r="N16" s="56" t="s">
        <v>97</v>
      </c>
      <c r="O16" s="77">
        <v>902.22</v>
      </c>
      <c r="P16" s="78">
        <v>714.56</v>
      </c>
      <c r="Q16" s="80">
        <f t="shared" ref="Q16:Q22" si="8">P16+O16</f>
        <v>1616.78</v>
      </c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15.75">
      <c r="B17" s="28">
        <f>IF(D17=0,0,INDEX($E$5:$E$8,MATCH(H17,$C$5:$C$8,1)))</f>
        <v>0</v>
      </c>
      <c r="C17" s="11"/>
      <c r="D17" s="74"/>
      <c r="E17" s="71"/>
      <c r="F17" s="23">
        <f>INDEX($F$5:$F$8,MATCH(G17,$C$5:$C$8,1))</f>
        <v>0</v>
      </c>
      <c r="G17" s="24">
        <f>IF(D17=0,,SUM($D$12:D17)-SUM($E$12:$E$23))</f>
        <v>0</v>
      </c>
      <c r="H17" s="26">
        <f t="shared" si="4"/>
        <v>0</v>
      </c>
      <c r="I17" s="26">
        <f t="shared" si="6"/>
        <v>0</v>
      </c>
      <c r="J17" s="26">
        <f t="shared" si="7"/>
        <v>0</v>
      </c>
      <c r="K17" s="62" t="str">
        <f t="shared" si="5"/>
        <v>NÃO</v>
      </c>
      <c r="L17" s="76">
        <f t="shared" si="1"/>
        <v>0</v>
      </c>
      <c r="M17" s="43"/>
      <c r="N17" s="56" t="s">
        <v>98</v>
      </c>
      <c r="O17" s="77">
        <v>902.22</v>
      </c>
      <c r="P17" s="78">
        <v>714.56</v>
      </c>
      <c r="Q17" s="80">
        <f t="shared" si="8"/>
        <v>1616.78</v>
      </c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15.75">
      <c r="B18" s="28">
        <f t="shared" si="2"/>
        <v>0</v>
      </c>
      <c r="C18" s="11"/>
      <c r="D18" s="81"/>
      <c r="E18" s="71"/>
      <c r="F18" s="23">
        <f t="shared" si="3"/>
        <v>0</v>
      </c>
      <c r="G18" s="24">
        <f>IF(D18=0,,SUM($D$12:D18)-SUM($E$12:$E$23))</f>
        <v>0</v>
      </c>
      <c r="H18" s="26">
        <f t="shared" si="4"/>
        <v>0</v>
      </c>
      <c r="I18" s="26">
        <f t="shared" si="6"/>
        <v>0</v>
      </c>
      <c r="J18" s="26">
        <f t="shared" si="7"/>
        <v>0</v>
      </c>
      <c r="K18" s="62" t="str">
        <f t="shared" si="5"/>
        <v>NÃO</v>
      </c>
      <c r="L18" s="76">
        <f t="shared" si="1"/>
        <v>0</v>
      </c>
      <c r="M18" s="43"/>
      <c r="N18" s="56" t="s">
        <v>99</v>
      </c>
      <c r="O18" s="77">
        <v>902.22</v>
      </c>
      <c r="P18" s="78">
        <v>714.56</v>
      </c>
      <c r="Q18" s="80">
        <f t="shared" si="8"/>
        <v>1616.78</v>
      </c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15.75">
      <c r="B19" s="28">
        <f t="shared" si="2"/>
        <v>0</v>
      </c>
      <c r="C19" s="29"/>
      <c r="D19" s="74"/>
      <c r="E19" s="71"/>
      <c r="F19" s="23">
        <f t="shared" si="3"/>
        <v>0</v>
      </c>
      <c r="G19" s="24">
        <f>IF(D19=0,,SUM($D$12:D19)-SUM($E$12:$E$23))</f>
        <v>0</v>
      </c>
      <c r="H19" s="26">
        <f t="shared" si="4"/>
        <v>0</v>
      </c>
      <c r="I19" s="26">
        <f t="shared" si="6"/>
        <v>0</v>
      </c>
      <c r="J19" s="26">
        <f t="shared" si="7"/>
        <v>0</v>
      </c>
      <c r="K19" s="62" t="str">
        <f t="shared" si="5"/>
        <v>NÃO</v>
      </c>
      <c r="L19" s="76">
        <f t="shared" si="1"/>
        <v>0</v>
      </c>
      <c r="M19" s="43"/>
      <c r="N19" s="56" t="s">
        <v>100</v>
      </c>
      <c r="O19" s="77">
        <v>902.22</v>
      </c>
      <c r="P19" s="78">
        <v>714.56</v>
      </c>
      <c r="Q19" s="80">
        <f t="shared" si="8"/>
        <v>1616.78</v>
      </c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15.75">
      <c r="B20" s="28">
        <f t="shared" si="2"/>
        <v>0</v>
      </c>
      <c r="C20" s="11"/>
      <c r="D20" s="74"/>
      <c r="E20" s="71"/>
      <c r="F20" s="23">
        <f t="shared" si="3"/>
        <v>0</v>
      </c>
      <c r="G20" s="24">
        <f>IF(D20=0,,SUM($D$12:D20)-SUM($E$12:$E$23))</f>
        <v>0</v>
      </c>
      <c r="H20" s="26">
        <f t="shared" si="4"/>
        <v>0</v>
      </c>
      <c r="I20" s="26">
        <f t="shared" si="6"/>
        <v>0</v>
      </c>
      <c r="J20" s="26">
        <f t="shared" si="7"/>
        <v>0</v>
      </c>
      <c r="K20" s="62" t="str">
        <f t="shared" si="5"/>
        <v>NÃO</v>
      </c>
      <c r="L20" s="76">
        <f t="shared" si="1"/>
        <v>0</v>
      </c>
      <c r="M20" s="43"/>
      <c r="N20" s="56" t="s">
        <v>101</v>
      </c>
      <c r="O20" s="77">
        <v>902.22</v>
      </c>
      <c r="P20" s="78">
        <v>714.56</v>
      </c>
      <c r="Q20" s="80">
        <f t="shared" si="8"/>
        <v>1616.78</v>
      </c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15.75">
      <c r="B21" s="28">
        <f t="shared" si="2"/>
        <v>0</v>
      </c>
      <c r="C21" s="11"/>
      <c r="D21" s="74"/>
      <c r="E21" s="71"/>
      <c r="F21" s="23">
        <f t="shared" si="3"/>
        <v>0</v>
      </c>
      <c r="G21" s="24">
        <f>IF(D21=0,,SUM($D$12:D21)-SUM($E$12:$E$23))</f>
        <v>0</v>
      </c>
      <c r="H21" s="26">
        <f t="shared" si="4"/>
        <v>0</v>
      </c>
      <c r="I21" s="26">
        <f t="shared" si="6"/>
        <v>0</v>
      </c>
      <c r="J21" s="26">
        <f t="shared" si="7"/>
        <v>0</v>
      </c>
      <c r="K21" s="62" t="str">
        <f t="shared" si="5"/>
        <v>NÃO</v>
      </c>
      <c r="L21" s="76">
        <f t="shared" si="1"/>
        <v>0</v>
      </c>
      <c r="M21" s="43"/>
      <c r="N21" s="56" t="s">
        <v>102</v>
      </c>
      <c r="O21" s="77">
        <v>902.22</v>
      </c>
      <c r="P21" s="78">
        <v>714.56</v>
      </c>
      <c r="Q21" s="80">
        <f t="shared" si="8"/>
        <v>1616.78</v>
      </c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15.75">
      <c r="B22" s="28">
        <f t="shared" si="2"/>
        <v>0</v>
      </c>
      <c r="C22" s="11"/>
      <c r="D22" s="74"/>
      <c r="E22" s="71"/>
      <c r="F22" s="23">
        <f t="shared" si="3"/>
        <v>0</v>
      </c>
      <c r="G22" s="24">
        <f>IF(D22=0,,SUM($D$12:D22)-SUM($E$12:$E$23))</f>
        <v>0</v>
      </c>
      <c r="H22" s="26">
        <f t="shared" si="4"/>
        <v>0</v>
      </c>
      <c r="I22" s="26">
        <f t="shared" si="6"/>
        <v>0</v>
      </c>
      <c r="J22" s="26">
        <f t="shared" si="7"/>
        <v>0</v>
      </c>
      <c r="K22" s="62" t="str">
        <f t="shared" si="5"/>
        <v>NÃO</v>
      </c>
      <c r="L22" s="76">
        <f t="shared" si="1"/>
        <v>0</v>
      </c>
      <c r="M22" s="43"/>
      <c r="N22" s="56" t="s">
        <v>103</v>
      </c>
      <c r="O22" s="77">
        <v>441.96</v>
      </c>
      <c r="P22" s="78">
        <v>940.58</v>
      </c>
      <c r="Q22" s="80">
        <f t="shared" si="8"/>
        <v>1382.54</v>
      </c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>
      <c r="B23" s="30">
        <f t="shared" si="2"/>
        <v>0</v>
      </c>
      <c r="C23" s="31"/>
      <c r="D23" s="75"/>
      <c r="E23" s="72"/>
      <c r="F23" s="32">
        <f t="shared" si="3"/>
        <v>0</v>
      </c>
      <c r="G23" s="33">
        <f>IF(D23=0,,SUM($D$12:D23)-SUM($E$12:$E$23))</f>
        <v>0</v>
      </c>
      <c r="H23" s="34">
        <f t="shared" si="4"/>
        <v>0</v>
      </c>
      <c r="I23" s="34">
        <f t="shared" si="6"/>
        <v>0</v>
      </c>
      <c r="J23" s="34">
        <f t="shared" si="7"/>
        <v>0</v>
      </c>
      <c r="K23" s="63" t="str">
        <f t="shared" si="5"/>
        <v>NÃO</v>
      </c>
      <c r="L23" s="76">
        <f t="shared" si="1"/>
        <v>0</v>
      </c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>
      <c r="B24" s="35"/>
      <c r="F24" s="17"/>
      <c r="G24" s="17"/>
      <c r="H24" s="10"/>
      <c r="I24" s="10"/>
      <c r="J24" s="17"/>
      <c r="K24" s="36"/>
      <c r="L24" s="27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>
      <c r="A25" s="43"/>
      <c r="B25" s="44"/>
      <c r="C25" s="45"/>
      <c r="D25" s="45"/>
      <c r="E25" s="45"/>
      <c r="F25" s="43"/>
      <c r="G25" s="45"/>
      <c r="H25" s="46"/>
      <c r="I25" s="46"/>
      <c r="J25" s="45"/>
      <c r="K25" s="47"/>
      <c r="L25" s="48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>
      <c r="A26" s="43"/>
      <c r="B26" s="43"/>
      <c r="C26" s="45"/>
      <c r="D26" s="43"/>
      <c r="E26" s="43"/>
      <c r="F26" s="45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>
      <c r="A27" s="43"/>
      <c r="B27" s="43"/>
      <c r="C27" s="45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>
      <c r="A28" s="43"/>
      <c r="B28" s="58" t="s">
        <v>105</v>
      </c>
      <c r="C28" s="49"/>
      <c r="D28" s="50"/>
      <c r="E28" s="50"/>
      <c r="F28" s="51"/>
      <c r="G28" s="43"/>
      <c r="H28" s="58" t="s">
        <v>108</v>
      </c>
      <c r="I28" s="50"/>
      <c r="J28" s="49">
        <f>C12</f>
        <v>233.73</v>
      </c>
      <c r="K28" s="51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>
      <c r="A29" s="43"/>
      <c r="B29" s="52"/>
      <c r="C29" s="53"/>
      <c r="D29" s="53"/>
      <c r="E29" s="53"/>
      <c r="F29" s="54"/>
      <c r="G29" s="43"/>
      <c r="H29" s="68" t="s">
        <v>112</v>
      </c>
      <c r="I29" s="69" t="s">
        <v>111</v>
      </c>
      <c r="J29" s="69" t="s">
        <v>110</v>
      </c>
      <c r="K29" s="65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>
      <c r="A30" s="43"/>
      <c r="B30" s="52" t="s">
        <v>93</v>
      </c>
      <c r="C30" s="53" t="s">
        <v>95</v>
      </c>
      <c r="D30" s="53"/>
      <c r="E30" s="53"/>
      <c r="F30" s="54"/>
      <c r="G30" s="43"/>
      <c r="H30" s="60">
        <f>E5</f>
        <v>7.4999999999999997E-2</v>
      </c>
      <c r="I30" s="59">
        <f>$C$12/E5</f>
        <v>3116.4</v>
      </c>
      <c r="J30" s="64">
        <f>D5</f>
        <v>1412</v>
      </c>
      <c r="K30" s="70" t="str">
        <f>IF(J30&gt;I30,"SIM","NÃO")</f>
        <v>NÃO</v>
      </c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>
      <c r="A31" s="43"/>
      <c r="B31" s="52"/>
      <c r="C31" s="53" t="s">
        <v>107</v>
      </c>
      <c r="D31" s="53"/>
      <c r="E31" s="53"/>
      <c r="F31" s="54"/>
      <c r="G31" s="43"/>
      <c r="H31" s="60">
        <f>E6</f>
        <v>0.09</v>
      </c>
      <c r="I31" s="59">
        <f>$C$12/E6</f>
        <v>2597</v>
      </c>
      <c r="J31" s="64">
        <f>D6</f>
        <v>2666.68</v>
      </c>
      <c r="K31" s="70" t="str">
        <f>IF(K30="NÃO",IF(J31&gt;I31,"SIM","NÃO"),"-")</f>
        <v>SIM</v>
      </c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>
      <c r="A32" s="43"/>
      <c r="B32" s="52"/>
      <c r="C32" s="53"/>
      <c r="D32" s="53"/>
      <c r="E32" s="53"/>
      <c r="F32" s="54"/>
      <c r="G32" s="43"/>
      <c r="H32" s="60">
        <f>E7</f>
        <v>0.12</v>
      </c>
      <c r="I32" s="59">
        <f>$C$12/E7</f>
        <v>1947.75</v>
      </c>
      <c r="J32" s="64">
        <f>D7</f>
        <v>4000.03</v>
      </c>
      <c r="K32" s="70" t="str">
        <f t="shared" ref="K32:K33" si="9">IF(K31="NÃO",IF(J32&gt;I32,"SIM","NÃO"),"-")</f>
        <v>-</v>
      </c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>
      <c r="A33" s="43"/>
      <c r="B33" s="52"/>
      <c r="C33" s="53"/>
      <c r="D33" s="53"/>
      <c r="E33" s="53"/>
      <c r="F33" s="54"/>
      <c r="G33" s="43"/>
      <c r="H33" s="60">
        <f>E8</f>
        <v>0.14000000000000001</v>
      </c>
      <c r="I33" s="59">
        <f>$C$12/E8</f>
        <v>1669.4999999999998</v>
      </c>
      <c r="J33" s="64">
        <f>D8</f>
        <v>7786.02</v>
      </c>
      <c r="K33" s="70" t="str">
        <f t="shared" si="9"/>
        <v>-</v>
      </c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>
      <c r="A34" s="43"/>
      <c r="B34" s="52"/>
      <c r="C34" s="53"/>
      <c r="D34" s="53"/>
      <c r="E34" s="53"/>
      <c r="F34" s="54"/>
      <c r="G34" s="43"/>
      <c r="H34" s="52"/>
      <c r="I34" s="53"/>
      <c r="J34" s="53"/>
      <c r="K34" s="54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>
      <c r="A35" s="43"/>
      <c r="B35" s="52"/>
      <c r="C35" s="53"/>
      <c r="D35" s="53"/>
      <c r="E35" s="53"/>
      <c r="F35" s="54"/>
      <c r="G35" s="43"/>
      <c r="H35" s="52"/>
      <c r="I35" s="53"/>
      <c r="J35" s="53"/>
      <c r="K35" s="54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>
      <c r="A36" s="43"/>
      <c r="B36" s="52"/>
      <c r="C36" s="53"/>
      <c r="D36" s="53"/>
      <c r="E36" s="53"/>
      <c r="F36" s="54"/>
      <c r="G36" s="43"/>
      <c r="H36" s="52"/>
      <c r="I36" s="53"/>
      <c r="J36" s="53"/>
      <c r="K36" s="54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>
      <c r="A37" s="43"/>
      <c r="B37" s="55"/>
      <c r="C37" s="56"/>
      <c r="D37" s="56"/>
      <c r="E37" s="56"/>
      <c r="F37" s="57"/>
      <c r="G37" s="43"/>
      <c r="H37" s="55"/>
      <c r="I37" s="56"/>
      <c r="J37" s="56"/>
      <c r="K37" s="57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65" spans="1:27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</row>
    <row r="66" spans="1:27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</row>
    <row r="67" spans="1:27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</row>
    <row r="68" spans="1:27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</row>
    <row r="69" spans="1:27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</row>
    <row r="70" spans="1:27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</row>
    <row r="71" spans="1:27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</row>
    <row r="72" spans="1:27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</row>
    <row r="73" spans="1:27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</row>
    <row r="74" spans="1:27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</row>
    <row r="75" spans="1:27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</row>
    <row r="76" spans="1:27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</row>
    <row r="77" spans="1:27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</row>
    <row r="78" spans="1:27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</row>
    <row r="79" spans="1:27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</row>
    <row r="80" spans="1:27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</row>
    <row r="81" spans="1:27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</row>
    <row r="82" spans="1:27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</row>
    <row r="83" spans="1:27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</row>
    <row r="84" spans="1:27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</row>
    <row r="85" spans="1:27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</row>
  </sheetData>
  <mergeCells count="1">
    <mergeCell ref="I2:J3"/>
  </mergeCells>
  <conditionalFormatting sqref="B12:B25">
    <cfRule type="cellIs" dxfId="5" priority="7" operator="equal">
      <formula>0</formula>
    </cfRule>
  </conditionalFormatting>
  <conditionalFormatting sqref="K12:K25">
    <cfRule type="cellIs" dxfId="4" priority="8" operator="equal">
      <formula>"NÃO"</formula>
    </cfRule>
    <cfRule type="cellIs" dxfId="3" priority="9" operator="equal">
      <formula>"SIM"</formula>
    </cfRule>
  </conditionalFormatting>
  <conditionalFormatting sqref="K30:K33">
    <cfRule type="cellIs" dxfId="2" priority="2" operator="equal">
      <formula>"NÃO"</formula>
    </cfRule>
    <cfRule type="cellIs" dxfId="1" priority="3" operator="equal">
      <formula>"SIM"</formula>
    </cfRule>
  </conditionalFormatting>
  <conditionalFormatting sqref="I30:I33">
    <cfRule type="expression" dxfId="0" priority="1">
      <formula>IF($K30="SIM",1,0)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TabelaINSS</vt:lpstr>
      <vt:lpstr>Tabela_PROCX</vt:lpstr>
      <vt:lpstr>Plan1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Víctor Pereira</dc:creator>
  <cp:lastModifiedBy>Joao Castro</cp:lastModifiedBy>
  <dcterms:created xsi:type="dcterms:W3CDTF">2026-08-02T14:24:59Z</dcterms:created>
  <dcterms:modified xsi:type="dcterms:W3CDTF">2026-09-30T12:24:22Z</dcterms:modified>
</cp:coreProperties>
</file>